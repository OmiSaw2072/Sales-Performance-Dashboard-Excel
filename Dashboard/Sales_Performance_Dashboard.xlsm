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3.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5.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5.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7.xml" ContentType="application/vnd.openxmlformats-officedocument.drawing+xml"/>
  <Override PartName="/xl/slicers/slicer6.xml" ContentType="application/vnd.ms-excel.slicer+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defaultThemeVersion="166925"/>
  <mc:AlternateContent xmlns:mc="http://schemas.openxmlformats.org/markup-compatibility/2006">
    <mc:Choice Requires="x15">
      <x15ac:absPath xmlns:x15ac="http://schemas.microsoft.com/office/spreadsheetml/2010/11/ac" url="D:\Data Analytics And Data Science Internship\Excel Projects\"/>
    </mc:Choice>
  </mc:AlternateContent>
  <xr:revisionPtr revIDLastSave="0" documentId="13_ncr:1_{BC7249FC-21A3-4AAB-959D-B9035B7F50E3}" xr6:coauthVersionLast="47" xr6:coauthVersionMax="47" xr10:uidLastSave="{00000000-0000-0000-0000-000000000000}"/>
  <bookViews>
    <workbookView xWindow="-108" yWindow="-108" windowWidth="23256" windowHeight="12456" firstSheet="3" activeTab="6" xr2:uid="{44D9A776-5702-4878-B547-EE0793B5CF68}"/>
  </bookViews>
  <sheets>
    <sheet name="Total Sales by Income" sheetId="9" r:id="rId1"/>
    <sheet name="Total Sales by Gender" sheetId="10" r:id="rId2"/>
    <sheet name="bike_buyers" sheetId="2" r:id="rId3"/>
    <sheet name="Total Sales by Region" sheetId="3" r:id="rId4"/>
    <sheet name="Sales by Category &amp; Sub-Categor" sheetId="4" r:id="rId5"/>
    <sheet name="Monthly Sales Trend" sheetId="5" r:id="rId6"/>
    <sheet name="Dashboard" sheetId="6" r:id="rId7"/>
    <sheet name="KPI_Backend" sheetId="7" r:id="rId8"/>
  </sheets>
  <definedNames>
    <definedName name="_xlcn.WorksheetConnection_Book1.xlsxSales_Data" hidden="1">Sales_Data[]</definedName>
    <definedName name="ExternalData_1" localSheetId="2" hidden="1">bike_buyers!$A$1:$R$1027</definedName>
    <definedName name="_xlnm.Print_Area" localSheetId="6">Dashboard!$A$1:$AE$34</definedName>
    <definedName name="Slicer_Gender">#N/A</definedName>
    <definedName name="Slicer_Order_Date__Month">#N/A</definedName>
    <definedName name="Slicer_Product_Category">#N/A</definedName>
    <definedName name="Slicer_Product_Sub_Category">#N/A</definedName>
    <definedName name="Slicer_Region">#N/A</definedName>
  </definedNames>
  <calcPr calcId="191029"/>
  <pivotCaches>
    <pivotCache cacheId="284" r:id="rId9"/>
    <pivotCache cacheId="287" r:id="rId10"/>
    <pivotCache cacheId="290" r:id="rId11"/>
    <pivotCache cacheId="293" r:id="rId12"/>
    <pivotCache cacheId="296" r:id="rId13"/>
    <pivotCache cacheId="299" r:id="rId14"/>
    <pivotCache cacheId="302" r:id="rId15"/>
    <pivotCache cacheId="305" r:id="rId16"/>
    <pivotCache cacheId="308" r:id="rId17"/>
  </pivotCaches>
  <extLst>
    <ext xmlns:x14="http://schemas.microsoft.com/office/spreadsheetml/2009/9/main" uri="{876F7934-8845-4945-9796-88D515C7AA90}">
      <x14:pivotCaches>
        <pivotCache cacheId="283" r:id="rId18"/>
      </x14:pivotCaches>
    </ext>
    <ext xmlns:x14="http://schemas.microsoft.com/office/spreadsheetml/2009/9/main" uri="{BBE1A952-AA13-448e-AADC-164F8A28A991}">
      <x14:slicerCaches>
        <x14:slicerCache r:id="rId19"/>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ales_Data" name="Sales_Data" connection="WorksheetConnection_Book1.xlsx!Sales_Data"/>
        </x15:modelTables>
        <x15:extLst>
          <ext xmlns:x16="http://schemas.microsoft.com/office/spreadsheetml/2014/11/main" uri="{9835A34E-60A6-4A7C-AAB8-D5F71C897F49}">
            <x16:modelTimeGroupings>
              <x16:modelTimeGrouping tableName="Sales_Data" columnName="Order_Date" columnId="Order_Date">
                <x16:calculatedTimeColumn columnName="Order_Date (Year)" columnId="Order_Date (Year)" contentType="years" isSelected="1"/>
                <x16:calculatedTimeColumn columnName="Order_Date (Month Index)" columnId="Order_Date (Month Index)" contentType="monthsindex" isSelected="1"/>
                <x16:calculatedTimeColumn columnName="Order_Date (Month)" columnId="Order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27" i="2" l="1"/>
  <c r="E428" i="2"/>
  <c r="E2" i="2"/>
  <c r="E3" i="2"/>
  <c r="E429" i="2"/>
  <c r="E726" i="2"/>
  <c r="E880" i="2"/>
  <c r="E430" i="2"/>
  <c r="E727" i="2"/>
  <c r="E881" i="2"/>
  <c r="E431" i="2"/>
  <c r="E882" i="2"/>
  <c r="E883" i="2"/>
  <c r="E432" i="2"/>
  <c r="E221" i="2"/>
  <c r="E728" i="2"/>
  <c r="E433" i="2"/>
  <c r="E434" i="2"/>
  <c r="E435" i="2"/>
  <c r="E729" i="2"/>
  <c r="E436" i="2"/>
  <c r="E4" i="2"/>
  <c r="E437" i="2"/>
  <c r="E5" i="2"/>
  <c r="E438" i="2"/>
  <c r="E439" i="2"/>
  <c r="E440" i="2"/>
  <c r="E884" i="2"/>
  <c r="E6" i="2"/>
  <c r="E730" i="2"/>
  <c r="E731" i="2"/>
  <c r="E732" i="2"/>
  <c r="E733" i="2"/>
  <c r="E7" i="2"/>
  <c r="E885" i="2"/>
  <c r="E734" i="2"/>
  <c r="E735" i="2"/>
  <c r="E441" i="2"/>
  <c r="E736" i="2"/>
  <c r="E737" i="2"/>
  <c r="E442" i="2"/>
  <c r="E443" i="2"/>
  <c r="E738" i="2"/>
  <c r="E886" i="2"/>
  <c r="E739" i="2"/>
  <c r="E740" i="2"/>
  <c r="E222" i="2"/>
  <c r="E444" i="2"/>
  <c r="E445" i="2"/>
  <c r="E446" i="2"/>
  <c r="E447" i="2"/>
  <c r="E8" i="2"/>
  <c r="E741" i="2"/>
  <c r="E887" i="2"/>
  <c r="E9" i="2"/>
  <c r="E10" i="2"/>
  <c r="E448" i="2"/>
  <c r="E888" i="2"/>
  <c r="E449" i="2"/>
  <c r="E223" i="2"/>
  <c r="E742" i="2"/>
  <c r="E743" i="2"/>
  <c r="E450" i="2"/>
  <c r="E224" i="2"/>
  <c r="E451" i="2"/>
  <c r="E452" i="2"/>
  <c r="E453" i="2"/>
  <c r="E454" i="2"/>
  <c r="E744" i="2"/>
  <c r="E745" i="2"/>
  <c r="E889" i="2"/>
  <c r="E746" i="2"/>
  <c r="E890" i="2"/>
  <c r="E747" i="2"/>
  <c r="E748" i="2"/>
  <c r="E891" i="2"/>
  <c r="E749" i="2"/>
  <c r="E11" i="2"/>
  <c r="E12" i="2"/>
  <c r="E455" i="2"/>
  <c r="E456" i="2"/>
  <c r="E750" i="2"/>
  <c r="E457" i="2"/>
  <c r="E751" i="2"/>
  <c r="E458" i="2"/>
  <c r="E752" i="2"/>
  <c r="E892" i="2"/>
  <c r="E13" i="2"/>
  <c r="E459" i="2"/>
  <c r="E753" i="2"/>
  <c r="E460" i="2"/>
  <c r="E461" i="2"/>
  <c r="E225" i="2"/>
  <c r="E462" i="2"/>
  <c r="E463" i="2"/>
  <c r="E893" i="2"/>
  <c r="E464" i="2"/>
  <c r="E465" i="2"/>
  <c r="E466" i="2"/>
  <c r="E754" i="2"/>
  <c r="E755" i="2"/>
  <c r="E226" i="2"/>
  <c r="E756" i="2"/>
  <c r="E227" i="2"/>
  <c r="E14" i="2"/>
  <c r="E467" i="2"/>
  <c r="E15" i="2"/>
  <c r="E468" i="2"/>
  <c r="E469" i="2"/>
  <c r="E470" i="2"/>
  <c r="E471" i="2"/>
  <c r="E16" i="2"/>
  <c r="E472" i="2"/>
  <c r="E894" i="2"/>
  <c r="E757" i="2"/>
  <c r="E758" i="2"/>
  <c r="E473" i="2"/>
  <c r="E759" i="2"/>
  <c r="E17" i="2"/>
  <c r="E474" i="2"/>
  <c r="E475" i="2"/>
  <c r="E895" i="2"/>
  <c r="E18" i="2"/>
  <c r="E896" i="2"/>
  <c r="E476" i="2"/>
  <c r="E19" i="2"/>
  <c r="E477" i="2"/>
  <c r="E478" i="2"/>
  <c r="E760" i="2"/>
  <c r="E761" i="2"/>
  <c r="E228" i="2"/>
  <c r="E897" i="2"/>
  <c r="E479" i="2"/>
  <c r="E480" i="2"/>
  <c r="E481" i="2"/>
  <c r="E762" i="2"/>
  <c r="E763" i="2"/>
  <c r="E764" i="2"/>
  <c r="E765" i="2"/>
  <c r="E482" i="2"/>
  <c r="E483" i="2"/>
  <c r="E766" i="2"/>
  <c r="E484" i="2"/>
  <c r="E20" i="2"/>
  <c r="E485" i="2"/>
  <c r="E486" i="2"/>
  <c r="E487" i="2"/>
  <c r="E488" i="2"/>
  <c r="E767" i="2"/>
  <c r="E489" i="2"/>
  <c r="E229" i="2"/>
  <c r="E898" i="2"/>
  <c r="E768" i="2"/>
  <c r="E899" i="2"/>
  <c r="E21" i="2"/>
  <c r="E769" i="2"/>
  <c r="E900" i="2"/>
  <c r="E770" i="2"/>
  <c r="E771" i="2"/>
  <c r="E772" i="2"/>
  <c r="E230" i="2"/>
  <c r="E773" i="2"/>
  <c r="E231" i="2"/>
  <c r="E490" i="2"/>
  <c r="E774" i="2"/>
  <c r="E775" i="2"/>
  <c r="E901" i="2"/>
  <c r="E902" i="2"/>
  <c r="E22" i="2"/>
  <c r="E491" i="2"/>
  <c r="E903" i="2"/>
  <c r="E23" i="2"/>
  <c r="E776" i="2"/>
  <c r="E777" i="2"/>
  <c r="E232" i="2"/>
  <c r="E24" i="2"/>
  <c r="E778" i="2"/>
  <c r="E904" i="2"/>
  <c r="E905" i="2"/>
  <c r="E779" i="2"/>
  <c r="E780" i="2"/>
  <c r="E492" i="2"/>
  <c r="E781" i="2"/>
  <c r="E493" i="2"/>
  <c r="E906" i="2"/>
  <c r="E907" i="2"/>
  <c r="E494" i="2"/>
  <c r="E25" i="2"/>
  <c r="E26" i="2"/>
  <c r="E495" i="2"/>
  <c r="E496" i="2"/>
  <c r="E908" i="2"/>
  <c r="E27" i="2"/>
  <c r="E28" i="2"/>
  <c r="E782" i="2"/>
  <c r="E783" i="2"/>
  <c r="E233" i="2"/>
  <c r="E234" i="2"/>
  <c r="E909" i="2"/>
  <c r="E29" i="2"/>
  <c r="E235" i="2"/>
  <c r="E784" i="2"/>
  <c r="E497" i="2"/>
  <c r="E236" i="2"/>
  <c r="E910" i="2"/>
  <c r="E498" i="2"/>
  <c r="E911" i="2"/>
  <c r="E785" i="2"/>
  <c r="E499" i="2"/>
  <c r="E500" i="2"/>
  <c r="E30" i="2"/>
  <c r="E237" i="2"/>
  <c r="E501" i="2"/>
  <c r="E31" i="2"/>
  <c r="E502" i="2"/>
  <c r="E32" i="2"/>
  <c r="E786" i="2"/>
  <c r="E787" i="2"/>
  <c r="E788" i="2"/>
  <c r="E789" i="2"/>
  <c r="E238" i="2"/>
  <c r="E790" i="2"/>
  <c r="E503" i="2"/>
  <c r="E33" i="2"/>
  <c r="E504" i="2"/>
  <c r="E791" i="2"/>
  <c r="E792" i="2"/>
  <c r="E793" i="2"/>
  <c r="E794" i="2"/>
  <c r="E34" i="2"/>
  <c r="E912" i="2"/>
  <c r="E505" i="2"/>
  <c r="E506" i="2"/>
  <c r="E795" i="2"/>
  <c r="E913" i="2"/>
  <c r="E796" i="2"/>
  <c r="E507" i="2"/>
  <c r="E797" i="2"/>
  <c r="E35" i="2"/>
  <c r="E508" i="2"/>
  <c r="E798" i="2"/>
  <c r="E509" i="2"/>
  <c r="E510" i="2"/>
  <c r="E799" i="2"/>
  <c r="E914" i="2"/>
  <c r="E915" i="2"/>
  <c r="E916" i="2"/>
  <c r="E917" i="2"/>
  <c r="E800" i="2"/>
  <c r="E36" i="2"/>
  <c r="E918" i="2"/>
  <c r="E919" i="2"/>
  <c r="E239" i="2"/>
  <c r="E920" i="2"/>
  <c r="E801" i="2"/>
  <c r="E511" i="2"/>
  <c r="E802" i="2"/>
  <c r="E240" i="2"/>
  <c r="E921" i="2"/>
  <c r="E922" i="2"/>
  <c r="E512" i="2"/>
  <c r="E513" i="2"/>
  <c r="E803" i="2"/>
  <c r="E37" i="2"/>
  <c r="E514" i="2"/>
  <c r="E515" i="2"/>
  <c r="E804" i="2"/>
  <c r="E923" i="2"/>
  <c r="E38" i="2"/>
  <c r="E241" i="2"/>
  <c r="E805" i="2"/>
  <c r="E806" i="2"/>
  <c r="E807" i="2"/>
  <c r="E808" i="2"/>
  <c r="E516" i="2"/>
  <c r="E924" i="2"/>
  <c r="E809" i="2"/>
  <c r="E810" i="2"/>
  <c r="E925" i="2"/>
  <c r="E517" i="2"/>
  <c r="E811" i="2"/>
  <c r="E812" i="2"/>
  <c r="E813" i="2"/>
  <c r="E39" i="2"/>
  <c r="E814" i="2"/>
  <c r="E242" i="2"/>
  <c r="E926" i="2"/>
  <c r="E518" i="2"/>
  <c r="E927" i="2"/>
  <c r="E519" i="2"/>
  <c r="E243" i="2"/>
  <c r="E520" i="2"/>
  <c r="E521" i="2"/>
  <c r="E815" i="2"/>
  <c r="E816" i="2"/>
  <c r="E928" i="2"/>
  <c r="E244" i="2"/>
  <c r="E929" i="2"/>
  <c r="E930" i="2"/>
  <c r="E522" i="2"/>
  <c r="E817" i="2"/>
  <c r="E523" i="2"/>
  <c r="E524" i="2"/>
  <c r="E525" i="2"/>
  <c r="E40" i="2"/>
  <c r="E818" i="2"/>
  <c r="E931" i="2"/>
  <c r="E819" i="2"/>
  <c r="E526" i="2"/>
  <c r="E820" i="2"/>
  <c r="E932" i="2"/>
  <c r="E245" i="2"/>
  <c r="E821" i="2"/>
  <c r="E527" i="2"/>
  <c r="E41" i="2"/>
  <c r="E42" i="2"/>
  <c r="E246" i="2"/>
  <c r="E528" i="2"/>
  <c r="E933" i="2"/>
  <c r="E529" i="2"/>
  <c r="E934" i="2"/>
  <c r="E935" i="2"/>
  <c r="E822" i="2"/>
  <c r="E530" i="2"/>
  <c r="E936" i="2"/>
  <c r="E531" i="2"/>
  <c r="E823" i="2"/>
  <c r="E532" i="2"/>
  <c r="E533" i="2"/>
  <c r="E937" i="2"/>
  <c r="E43" i="2"/>
  <c r="E824" i="2"/>
  <c r="E825" i="2"/>
  <c r="E938" i="2"/>
  <c r="E939" i="2"/>
  <c r="E44" i="2"/>
  <c r="E826" i="2"/>
  <c r="E827" i="2"/>
  <c r="E940" i="2"/>
  <c r="E828" i="2"/>
  <c r="E534" i="2"/>
  <c r="E535" i="2"/>
  <c r="E829" i="2"/>
  <c r="E536" i="2"/>
  <c r="E537" i="2"/>
  <c r="E830" i="2"/>
  <c r="E538" i="2"/>
  <c r="E247" i="2"/>
  <c r="E831" i="2"/>
  <c r="E539" i="2"/>
  <c r="E832" i="2"/>
  <c r="E833" i="2"/>
  <c r="E45" i="2"/>
  <c r="E540" i="2"/>
  <c r="E541" i="2"/>
  <c r="E46" i="2"/>
  <c r="E941" i="2"/>
  <c r="E834" i="2"/>
  <c r="E942" i="2"/>
  <c r="E47" i="2"/>
  <c r="E943" i="2"/>
  <c r="E542" i="2"/>
  <c r="E543" i="2"/>
  <c r="E544" i="2"/>
  <c r="E835" i="2"/>
  <c r="E545" i="2"/>
  <c r="E248" i="2"/>
  <c r="E944" i="2"/>
  <c r="E546" i="2"/>
  <c r="E836" i="2"/>
  <c r="E945" i="2"/>
  <c r="E48" i="2"/>
  <c r="E547" i="2"/>
  <c r="E837" i="2"/>
  <c r="E49" i="2"/>
  <c r="E548" i="2"/>
  <c r="E838" i="2"/>
  <c r="E946" i="2"/>
  <c r="E549" i="2"/>
  <c r="E249" i="2"/>
  <c r="E50" i="2"/>
  <c r="E550" i="2"/>
  <c r="E51" i="2"/>
  <c r="E551" i="2"/>
  <c r="E839" i="2"/>
  <c r="E552" i="2"/>
  <c r="E947" i="2"/>
  <c r="E840" i="2"/>
  <c r="E553" i="2"/>
  <c r="E52" i="2"/>
  <c r="E53" i="2"/>
  <c r="E54" i="2"/>
  <c r="E841" i="2"/>
  <c r="E842" i="2"/>
  <c r="E554" i="2"/>
  <c r="E555" i="2"/>
  <c r="E250" i="2"/>
  <c r="E843" i="2"/>
  <c r="E556" i="2"/>
  <c r="E557" i="2"/>
  <c r="E948" i="2"/>
  <c r="E558" i="2"/>
  <c r="E844" i="2"/>
  <c r="E845" i="2"/>
  <c r="E559" i="2"/>
  <c r="E560" i="2"/>
  <c r="E561" i="2"/>
  <c r="E949" i="2"/>
  <c r="E562" i="2"/>
  <c r="E950" i="2"/>
  <c r="E846" i="2"/>
  <c r="E55" i="2"/>
  <c r="E563" i="2"/>
  <c r="E564" i="2"/>
  <c r="E565" i="2"/>
  <c r="E56" i="2"/>
  <c r="E251" i="2"/>
  <c r="E566" i="2"/>
  <c r="E567" i="2"/>
  <c r="E847" i="2"/>
  <c r="E951" i="2"/>
  <c r="E848" i="2"/>
  <c r="E952" i="2"/>
  <c r="E568" i="2"/>
  <c r="E849" i="2"/>
  <c r="E569" i="2"/>
  <c r="E570" i="2"/>
  <c r="E953" i="2"/>
  <c r="E954" i="2"/>
  <c r="E571" i="2"/>
  <c r="E572" i="2"/>
  <c r="E850" i="2"/>
  <c r="E955" i="2"/>
  <c r="E573" i="2"/>
  <c r="E574" i="2"/>
  <c r="E851" i="2"/>
  <c r="E57" i="2"/>
  <c r="E575" i="2"/>
  <c r="E58" i="2"/>
  <c r="E59" i="2"/>
  <c r="E956" i="2"/>
  <c r="E60" i="2"/>
  <c r="E61" i="2"/>
  <c r="E576" i="2"/>
  <c r="E577" i="2"/>
  <c r="E578" i="2"/>
  <c r="E957" i="2"/>
  <c r="E579" i="2"/>
  <c r="E580" i="2"/>
  <c r="E581" i="2"/>
  <c r="E852" i="2"/>
  <c r="E582" i="2"/>
  <c r="E583" i="2"/>
  <c r="E62" i="2"/>
  <c r="E584" i="2"/>
  <c r="E63" i="2"/>
  <c r="E958" i="2"/>
  <c r="E853" i="2"/>
  <c r="E959" i="2"/>
  <c r="E64" i="2"/>
  <c r="E854" i="2"/>
  <c r="E960" i="2"/>
  <c r="E585" i="2"/>
  <c r="E855" i="2"/>
  <c r="E586" i="2"/>
  <c r="E587" i="2"/>
  <c r="E588" i="2"/>
  <c r="E961" i="2"/>
  <c r="E65" i="2"/>
  <c r="E589" i="2"/>
  <c r="E590" i="2"/>
  <c r="E66" i="2"/>
  <c r="E591" i="2"/>
  <c r="E592" i="2"/>
  <c r="E962" i="2"/>
  <c r="E856" i="2"/>
  <c r="E67" i="2"/>
  <c r="E68" i="2"/>
  <c r="E593" i="2"/>
  <c r="E594" i="2"/>
  <c r="E963" i="2"/>
  <c r="E595" i="2"/>
  <c r="E596" i="2"/>
  <c r="E857" i="2"/>
  <c r="E597" i="2"/>
  <c r="E598" i="2"/>
  <c r="E964" i="2"/>
  <c r="E599" i="2"/>
  <c r="E858" i="2"/>
  <c r="E859" i="2"/>
  <c r="E252" i="2"/>
  <c r="E69" i="2"/>
  <c r="E600" i="2"/>
  <c r="E70" i="2"/>
  <c r="E71" i="2"/>
  <c r="E253" i="2"/>
  <c r="E254" i="2"/>
  <c r="E72" i="2"/>
  <c r="E73" i="2"/>
  <c r="E601" i="2"/>
  <c r="E255" i="2"/>
  <c r="E256" i="2"/>
  <c r="E602" i="2"/>
  <c r="E965" i="2"/>
  <c r="E74" i="2"/>
  <c r="E966" i="2"/>
  <c r="E75" i="2"/>
  <c r="E603" i="2"/>
  <c r="E257" i="2"/>
  <c r="E76" i="2"/>
  <c r="E77" i="2"/>
  <c r="E78" i="2"/>
  <c r="E258" i="2"/>
  <c r="E259" i="2"/>
  <c r="E604" i="2"/>
  <c r="E79" i="2"/>
  <c r="E260" i="2"/>
  <c r="E261" i="2"/>
  <c r="E80" i="2"/>
  <c r="E81" i="2"/>
  <c r="E967" i="2"/>
  <c r="E605" i="2"/>
  <c r="E262" i="2"/>
  <c r="E82" i="2"/>
  <c r="E83" i="2"/>
  <c r="E263" i="2"/>
  <c r="E968" i="2"/>
  <c r="E264" i="2"/>
  <c r="E606" i="2"/>
  <c r="E265" i="2"/>
  <c r="E266" i="2"/>
  <c r="E607" i="2"/>
  <c r="E267" i="2"/>
  <c r="E268" i="2"/>
  <c r="E608" i="2"/>
  <c r="E269" i="2"/>
  <c r="E84" i="2"/>
  <c r="E609" i="2"/>
  <c r="E85" i="2"/>
  <c r="E86" i="2"/>
  <c r="E87" i="2"/>
  <c r="E270" i="2"/>
  <c r="E610" i="2"/>
  <c r="E88" i="2"/>
  <c r="E969" i="2"/>
  <c r="E271" i="2"/>
  <c r="E272" i="2"/>
  <c r="E273" i="2"/>
  <c r="E89" i="2"/>
  <c r="E970" i="2"/>
  <c r="E90" i="2"/>
  <c r="E274" i="2"/>
  <c r="E275" i="2"/>
  <c r="E611" i="2"/>
  <c r="E276" i="2"/>
  <c r="E277" i="2"/>
  <c r="E91" i="2"/>
  <c r="E612" i="2"/>
  <c r="E278" i="2"/>
  <c r="E279" i="2"/>
  <c r="E280" i="2"/>
  <c r="E860" i="2"/>
  <c r="E92" i="2"/>
  <c r="E613" i="2"/>
  <c r="E614" i="2"/>
  <c r="E615" i="2"/>
  <c r="E281" i="2"/>
  <c r="E616" i="2"/>
  <c r="E93" i="2"/>
  <c r="E282" i="2"/>
  <c r="E94" i="2"/>
  <c r="E617" i="2"/>
  <c r="E618" i="2"/>
  <c r="E283" i="2"/>
  <c r="E95" i="2"/>
  <c r="E284" i="2"/>
  <c r="E619" i="2"/>
  <c r="E971" i="2"/>
  <c r="E285" i="2"/>
  <c r="E620" i="2"/>
  <c r="E286" i="2"/>
  <c r="E621" i="2"/>
  <c r="E96" i="2"/>
  <c r="E287" i="2"/>
  <c r="E97" i="2"/>
  <c r="E972" i="2"/>
  <c r="E288" i="2"/>
  <c r="E973" i="2"/>
  <c r="E974" i="2"/>
  <c r="E289" i="2"/>
  <c r="E290" i="2"/>
  <c r="E622" i="2"/>
  <c r="E98" i="2"/>
  <c r="E99" i="2"/>
  <c r="E100" i="2"/>
  <c r="E861" i="2"/>
  <c r="E975" i="2"/>
  <c r="E623" i="2"/>
  <c r="E976" i="2"/>
  <c r="E291" i="2"/>
  <c r="E624" i="2"/>
  <c r="E101" i="2"/>
  <c r="E292" i="2"/>
  <c r="E293" i="2"/>
  <c r="E625" i="2"/>
  <c r="E102" i="2"/>
  <c r="E626" i="2"/>
  <c r="E103" i="2"/>
  <c r="E294" i="2"/>
  <c r="E104" i="2"/>
  <c r="E295" i="2"/>
  <c r="E105" i="2"/>
  <c r="E627" i="2"/>
  <c r="E977" i="2"/>
  <c r="E978" i="2"/>
  <c r="E296" i="2"/>
  <c r="E106" i="2"/>
  <c r="E628" i="2"/>
  <c r="E862" i="2"/>
  <c r="E629" i="2"/>
  <c r="E979" i="2"/>
  <c r="E107" i="2"/>
  <c r="E297" i="2"/>
  <c r="E108" i="2"/>
  <c r="E109" i="2"/>
  <c r="E298" i="2"/>
  <c r="E299" i="2"/>
  <c r="E300" i="2"/>
  <c r="E110" i="2"/>
  <c r="E301" i="2"/>
  <c r="E630" i="2"/>
  <c r="E111" i="2"/>
  <c r="E112" i="2"/>
  <c r="E980" i="2"/>
  <c r="E302" i="2"/>
  <c r="E631" i="2"/>
  <c r="E981" i="2"/>
  <c r="E632" i="2"/>
  <c r="E113" i="2"/>
  <c r="E982" i="2"/>
  <c r="E303" i="2"/>
  <c r="E304" i="2"/>
  <c r="E114" i="2"/>
  <c r="E115" i="2"/>
  <c r="E305" i="2"/>
  <c r="E306" i="2"/>
  <c r="E307" i="2"/>
  <c r="E633" i="2"/>
  <c r="E116" i="2"/>
  <c r="E117" i="2"/>
  <c r="E118" i="2"/>
  <c r="E308" i="2"/>
  <c r="E119" i="2"/>
  <c r="E634" i="2"/>
  <c r="E635" i="2"/>
  <c r="E636" i="2"/>
  <c r="E309" i="2"/>
  <c r="E120" i="2"/>
  <c r="E310" i="2"/>
  <c r="E311" i="2"/>
  <c r="E312" i="2"/>
  <c r="E637" i="2"/>
  <c r="E983" i="2"/>
  <c r="E121" i="2"/>
  <c r="E122" i="2"/>
  <c r="E984" i="2"/>
  <c r="E313" i="2"/>
  <c r="E638" i="2"/>
  <c r="E314" i="2"/>
  <c r="E315" i="2"/>
  <c r="E123" i="2"/>
  <c r="E316" i="2"/>
  <c r="E639" i="2"/>
  <c r="E124" i="2"/>
  <c r="E640" i="2"/>
  <c r="E985" i="2"/>
  <c r="E641" i="2"/>
  <c r="E317" i="2"/>
  <c r="E125" i="2"/>
  <c r="E318" i="2"/>
  <c r="E319" i="2"/>
  <c r="E126" i="2"/>
  <c r="E863" i="2"/>
  <c r="E986" i="2"/>
  <c r="E320" i="2"/>
  <c r="E321" i="2"/>
  <c r="E642" i="2"/>
  <c r="E643" i="2"/>
  <c r="E322" i="2"/>
  <c r="E644" i="2"/>
  <c r="E987" i="2"/>
  <c r="E323" i="2"/>
  <c r="E127" i="2"/>
  <c r="E324" i="2"/>
  <c r="E128" i="2"/>
  <c r="E129" i="2"/>
  <c r="E325" i="2"/>
  <c r="E645" i="2"/>
  <c r="E864" i="2"/>
  <c r="E988" i="2"/>
  <c r="E130" i="2"/>
  <c r="E646" i="2"/>
  <c r="E989" i="2"/>
  <c r="E326" i="2"/>
  <c r="E647" i="2"/>
  <c r="E131" i="2"/>
  <c r="E327" i="2"/>
  <c r="E132" i="2"/>
  <c r="E133" i="2"/>
  <c r="E134" i="2"/>
  <c r="E328" i="2"/>
  <c r="E135" i="2"/>
  <c r="E648" i="2"/>
  <c r="E136" i="2"/>
  <c r="E649" i="2"/>
  <c r="E329" i="2"/>
  <c r="E137" i="2"/>
  <c r="E990" i="2"/>
  <c r="E138" i="2"/>
  <c r="E139" i="2"/>
  <c r="E650" i="2"/>
  <c r="E991" i="2"/>
  <c r="E140" i="2"/>
  <c r="E141" i="2"/>
  <c r="E651" i="2"/>
  <c r="E992" i="2"/>
  <c r="E865" i="2"/>
  <c r="E142" i="2"/>
  <c r="E652" i="2"/>
  <c r="E330" i="2"/>
  <c r="E331" i="2"/>
  <c r="E332" i="2"/>
  <c r="E333" i="2"/>
  <c r="E993" i="2"/>
  <c r="E994" i="2"/>
  <c r="E653" i="2"/>
  <c r="E654" i="2"/>
  <c r="E143" i="2"/>
  <c r="E655" i="2"/>
  <c r="E334" i="2"/>
  <c r="E656" i="2"/>
  <c r="E657" i="2"/>
  <c r="E658" i="2"/>
  <c r="E995" i="2"/>
  <c r="E144" i="2"/>
  <c r="E335" i="2"/>
  <c r="E336" i="2"/>
  <c r="E145" i="2"/>
  <c r="E996" i="2"/>
  <c r="E146" i="2"/>
  <c r="E659" i="2"/>
  <c r="E337" i="2"/>
  <c r="E338" i="2"/>
  <c r="E660" i="2"/>
  <c r="E661" i="2"/>
  <c r="E339" i="2"/>
  <c r="E662" i="2"/>
  <c r="E663" i="2"/>
  <c r="E147" i="2"/>
  <c r="E340" i="2"/>
  <c r="E866" i="2"/>
  <c r="E341" i="2"/>
  <c r="E342" i="2"/>
  <c r="E343" i="2"/>
  <c r="E344" i="2"/>
  <c r="E148" i="2"/>
  <c r="E345" i="2"/>
  <c r="E346" i="2"/>
  <c r="E997" i="2"/>
  <c r="E998" i="2"/>
  <c r="E347" i="2"/>
  <c r="E149" i="2"/>
  <c r="E348" i="2"/>
  <c r="E349" i="2"/>
  <c r="E150" i="2"/>
  <c r="E151" i="2"/>
  <c r="E152" i="2"/>
  <c r="E664" i="2"/>
  <c r="E999" i="2"/>
  <c r="E153" i="2"/>
  <c r="E350" i="2"/>
  <c r="E154" i="2"/>
  <c r="E155" i="2"/>
  <c r="E351" i="2"/>
  <c r="E867" i="2"/>
  <c r="E665" i="2"/>
  <c r="E352" i="2"/>
  <c r="E156" i="2"/>
  <c r="E868" i="2"/>
  <c r="E353" i="2"/>
  <c r="E157" i="2"/>
  <c r="E666" i="2"/>
  <c r="E667" i="2"/>
  <c r="E668" i="2"/>
  <c r="E354" i="2"/>
  <c r="E355" i="2"/>
  <c r="E158" i="2"/>
  <c r="E356" i="2"/>
  <c r="E669" i="2"/>
  <c r="E357" i="2"/>
  <c r="E358" i="2"/>
  <c r="E159" i="2"/>
  <c r="E670" i="2"/>
  <c r="E671" i="2"/>
  <c r="E672" i="2"/>
  <c r="E673" i="2"/>
  <c r="E869" i="2"/>
  <c r="E359" i="2"/>
  <c r="E674" i="2"/>
  <c r="E675" i="2"/>
  <c r="E160" i="2"/>
  <c r="E360" i="2"/>
  <c r="E161" i="2"/>
  <c r="E162" i="2"/>
  <c r="E163" i="2"/>
  <c r="E676" i="2"/>
  <c r="E361" i="2"/>
  <c r="E362" i="2"/>
  <c r="E677" i="2"/>
  <c r="E678" i="2"/>
  <c r="E1000" i="2"/>
  <c r="E363" i="2"/>
  <c r="E679" i="2"/>
  <c r="E164" i="2"/>
  <c r="E1001" i="2"/>
  <c r="E165" i="2"/>
  <c r="E166" i="2"/>
  <c r="E167" i="2"/>
  <c r="E680" i="2"/>
  <c r="E1002" i="2"/>
  <c r="E364" i="2"/>
  <c r="E168" i="2"/>
  <c r="E365" i="2"/>
  <c r="E169" i="2"/>
  <c r="E170" i="2"/>
  <c r="E366" i="2"/>
  <c r="E681" i="2"/>
  <c r="E367" i="2"/>
  <c r="E171" i="2"/>
  <c r="E172" i="2"/>
  <c r="E173" i="2"/>
  <c r="E1003" i="2"/>
  <c r="E368" i="2"/>
  <c r="E174" i="2"/>
  <c r="E682" i="2"/>
  <c r="E870" i="2"/>
  <c r="E175" i="2"/>
  <c r="E683" i="2"/>
  <c r="E1004" i="2"/>
  <c r="E684" i="2"/>
  <c r="E1005" i="2"/>
  <c r="E369" i="2"/>
  <c r="E370" i="2"/>
  <c r="E371" i="2"/>
  <c r="E372" i="2"/>
  <c r="E685" i="2"/>
  <c r="E686" i="2"/>
  <c r="E373" i="2"/>
  <c r="E687" i="2"/>
  <c r="E688" i="2"/>
  <c r="E689" i="2"/>
  <c r="E871" i="2"/>
  <c r="E374" i="2"/>
  <c r="E176" i="2"/>
  <c r="E690" i="2"/>
  <c r="E177" i="2"/>
  <c r="E375" i="2"/>
  <c r="E178" i="2"/>
  <c r="E691" i="2"/>
  <c r="E1006" i="2"/>
  <c r="E376" i="2"/>
  <c r="E377" i="2"/>
  <c r="E179" i="2"/>
  <c r="E378" i="2"/>
  <c r="E692" i="2"/>
  <c r="E180" i="2"/>
  <c r="E693" i="2"/>
  <c r="E181" i="2"/>
  <c r="E379" i="2"/>
  <c r="E1007" i="2"/>
  <c r="E182" i="2"/>
  <c r="E183" i="2"/>
  <c r="E694" i="2"/>
  <c r="E380" i="2"/>
  <c r="E184" i="2"/>
  <c r="E872" i="2"/>
  <c r="E185" i="2"/>
  <c r="E381" i="2"/>
  <c r="E382" i="2"/>
  <c r="E186" i="2"/>
  <c r="E695" i="2"/>
  <c r="E1008" i="2"/>
  <c r="E187" i="2"/>
  <c r="E383" i="2"/>
  <c r="E188" i="2"/>
  <c r="E384" i="2"/>
  <c r="E385" i="2"/>
  <c r="E696" i="2"/>
  <c r="E189" i="2"/>
  <c r="E190" i="2"/>
  <c r="E697" i="2"/>
  <c r="E386" i="2"/>
  <c r="E191" i="2"/>
  <c r="E1009" i="2"/>
  <c r="E387" i="2"/>
  <c r="E1010" i="2"/>
  <c r="E388" i="2"/>
  <c r="E389" i="2"/>
  <c r="E390" i="2"/>
  <c r="E391" i="2"/>
  <c r="E698" i="2"/>
  <c r="E192" i="2"/>
  <c r="E699" i="2"/>
  <c r="E392" i="2"/>
  <c r="E193" i="2"/>
  <c r="E393" i="2"/>
  <c r="E194" i="2"/>
  <c r="E1011" i="2"/>
  <c r="E195" i="2"/>
  <c r="E700" i="2"/>
  <c r="E701" i="2"/>
  <c r="E196" i="2"/>
  <c r="E702" i="2"/>
  <c r="E197" i="2"/>
  <c r="E1012" i="2"/>
  <c r="E394" i="2"/>
  <c r="E703" i="2"/>
  <c r="E198" i="2"/>
  <c r="E395" i="2"/>
  <c r="E396" i="2"/>
  <c r="E199" i="2"/>
  <c r="E704" i="2"/>
  <c r="E705" i="2"/>
  <c r="E397" i="2"/>
  <c r="E398" i="2"/>
  <c r="E399" i="2"/>
  <c r="E400" i="2"/>
  <c r="E200" i="2"/>
  <c r="E706" i="2"/>
  <c r="E201" i="2"/>
  <c r="E401" i="2"/>
  <c r="E402" i="2"/>
  <c r="E707" i="2"/>
  <c r="E403" i="2"/>
  <c r="E404" i="2"/>
  <c r="E405" i="2"/>
  <c r="E1013" i="2"/>
  <c r="E1014" i="2"/>
  <c r="E406" i="2"/>
  <c r="E202" i="2"/>
  <c r="E203" i="2"/>
  <c r="E204" i="2"/>
  <c r="E205" i="2"/>
  <c r="E708" i="2"/>
  <c r="E407" i="2"/>
  <c r="E709" i="2"/>
  <c r="E206" i="2"/>
  <c r="E408" i="2"/>
  <c r="E1015" i="2"/>
  <c r="E409" i="2"/>
  <c r="E1016" i="2"/>
  <c r="E1017" i="2"/>
  <c r="E410" i="2"/>
  <c r="E1018" i="2"/>
  <c r="E207" i="2"/>
  <c r="E411" i="2"/>
  <c r="E412" i="2"/>
  <c r="E208" i="2"/>
  <c r="E710" i="2"/>
  <c r="E413" i="2"/>
  <c r="E414" i="2"/>
  <c r="E415" i="2"/>
  <c r="E711" i="2"/>
  <c r="E416" i="2"/>
  <c r="E209" i="2"/>
  <c r="E210" i="2"/>
  <c r="E417" i="2"/>
  <c r="E211" i="2"/>
  <c r="E212" i="2"/>
  <c r="E712" i="2"/>
  <c r="E213" i="2"/>
  <c r="E1019" i="2"/>
  <c r="E713" i="2"/>
  <c r="E1020" i="2"/>
  <c r="E418" i="2"/>
  <c r="E419" i="2"/>
  <c r="E714" i="2"/>
  <c r="E420" i="2"/>
  <c r="E214" i="2"/>
  <c r="E421" i="2"/>
  <c r="E715" i="2"/>
  <c r="E422" i="2"/>
  <c r="E1021" i="2"/>
  <c r="E1022" i="2"/>
  <c r="E215" i="2"/>
  <c r="E423" i="2"/>
  <c r="E216" i="2"/>
  <c r="E424" i="2"/>
  <c r="E1023" i="2"/>
  <c r="E425" i="2"/>
  <c r="E873" i="2"/>
  <c r="E1024" i="2"/>
  <c r="E716" i="2"/>
  <c r="E1025" i="2"/>
  <c r="E1026" i="2"/>
  <c r="E717" i="2"/>
  <c r="E426" i="2"/>
  <c r="E874" i="2"/>
  <c r="E718" i="2"/>
  <c r="E719" i="2"/>
  <c r="E720" i="2"/>
  <c r="E875" i="2"/>
  <c r="E721" i="2"/>
  <c r="E217" i="2"/>
  <c r="E722" i="2"/>
  <c r="E218" i="2"/>
  <c r="E723" i="2"/>
  <c r="E724" i="2"/>
  <c r="E725" i="2"/>
  <c r="E1027" i="2"/>
  <c r="E219" i="2"/>
  <c r="E876" i="2"/>
  <c r="E877" i="2"/>
  <c r="E878" i="2"/>
  <c r="E879" i="2"/>
  <c r="E220" i="2"/>
  <c r="B3" i="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A2652CB-D5E2-429A-9E5F-195F984E9FFB}" keepAlive="1" name="Query - bike_buyers" description="Connection to the 'bike_buyers' query in the workbook." type="5" refreshedVersion="8" background="1" saveData="1">
    <dbPr connection="Provider=Microsoft.Mashup.OleDb.1;Data Source=$Workbook$;Location=bike_buyers;Extended Properties=&quot;&quot;" command="SELECT * FROM [bike_buyers]"/>
  </connection>
  <connection id="2" xr16:uid="{C4CA05CD-DC5C-46C7-A11E-6E4EB3E22D1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641BB418-E4DD-40D3-90C2-755EB058F0E5}" name="WorksheetConnection_Book1.xlsx!Sales_Data" type="102" refreshedVersion="8" minRefreshableVersion="5">
    <extLst>
      <ext xmlns:x15="http://schemas.microsoft.com/office/spreadsheetml/2010/11/main" uri="{DE250136-89BD-433C-8126-D09CA5730AF9}">
        <x15:connection id="Sales_Data" autoDelete="1">
          <x15:rangePr sourceName="_xlcn.WorksheetConnection_Book1.xlsxSales_Data"/>
        </x15:connection>
      </ext>
    </extLst>
  </connection>
</connections>
</file>

<file path=xl/sharedStrings.xml><?xml version="1.0" encoding="utf-8"?>
<sst xmlns="http://schemas.openxmlformats.org/spreadsheetml/2006/main" count="10337" uniqueCount="87">
  <si>
    <t>ID</t>
  </si>
  <si>
    <t>Marital Status</t>
  </si>
  <si>
    <t>Gender</t>
  </si>
  <si>
    <t>Income</t>
  </si>
  <si>
    <t>Children</t>
  </si>
  <si>
    <t>Education</t>
  </si>
  <si>
    <t>Occupation</t>
  </si>
  <si>
    <t>Home Owner</t>
  </si>
  <si>
    <t>Cars</t>
  </si>
  <si>
    <t>Commute Distance</t>
  </si>
  <si>
    <t>Region</t>
  </si>
  <si>
    <t>Age</t>
  </si>
  <si>
    <t>Product Category</t>
  </si>
  <si>
    <t>Product Sub-Category</t>
  </si>
  <si>
    <t>Sales</t>
  </si>
  <si>
    <t>Month</t>
  </si>
  <si>
    <t>Order_Date</t>
  </si>
  <si>
    <t>M</t>
  </si>
  <si>
    <t>F</t>
  </si>
  <si>
    <t>Bachelors</t>
  </si>
  <si>
    <t>Skilled Manual</t>
  </si>
  <si>
    <t>Yes</t>
  </si>
  <si>
    <t>0-1 Miles</t>
  </si>
  <si>
    <t>Europe</t>
  </si>
  <si>
    <t>Bike</t>
  </si>
  <si>
    <t>Handle Grips</t>
  </si>
  <si>
    <t>December</t>
  </si>
  <si>
    <t>Partial College</t>
  </si>
  <si>
    <t>Clerical</t>
  </si>
  <si>
    <t>Chain Sprocket</t>
  </si>
  <si>
    <t>March</t>
  </si>
  <si>
    <t>Professional</t>
  </si>
  <si>
    <t>No</t>
  </si>
  <si>
    <t>2-5 Miles</t>
  </si>
  <si>
    <t>Disc Brake</t>
  </si>
  <si>
    <t>S</t>
  </si>
  <si>
    <t>5-10 Miles</t>
  </si>
  <si>
    <t>Pacific</t>
  </si>
  <si>
    <t>Car</t>
  </si>
  <si>
    <t>Alloy Wheels</t>
  </si>
  <si>
    <t>May</t>
  </si>
  <si>
    <t>Performance Exhaust</t>
  </si>
  <si>
    <t>Manual</t>
  </si>
  <si>
    <t>1-2 Miles</t>
  </si>
  <si>
    <t>January</t>
  </si>
  <si>
    <t>High School</t>
  </si>
  <si>
    <t>Management</t>
  </si>
  <si>
    <t>LED Headlights</t>
  </si>
  <si>
    <t>August</t>
  </si>
  <si>
    <t>Racing Exhaust</t>
  </si>
  <si>
    <t>Partial High School</t>
  </si>
  <si>
    <t>June</t>
  </si>
  <si>
    <t>February</t>
  </si>
  <si>
    <t>10+ Miles</t>
  </si>
  <si>
    <t>Spoiler</t>
  </si>
  <si>
    <t>LED Indicators</t>
  </si>
  <si>
    <t>September</t>
  </si>
  <si>
    <t>October</t>
  </si>
  <si>
    <t>July</t>
  </si>
  <si>
    <t>April</t>
  </si>
  <si>
    <t>November</t>
  </si>
  <si>
    <t>Graduate Degree</t>
  </si>
  <si>
    <t>Brake Kit</t>
  </si>
  <si>
    <t>North America</t>
  </si>
  <si>
    <t>Row Labels</t>
  </si>
  <si>
    <t>Grand Total</t>
  </si>
  <si>
    <t>Sum of Sales</t>
  </si>
  <si>
    <t>2023</t>
  </si>
  <si>
    <t>Count of ID</t>
  </si>
  <si>
    <t>Average of Sales</t>
  </si>
  <si>
    <t>Income Category</t>
  </si>
  <si>
    <t>High Income</t>
  </si>
  <si>
    <t>Low Income</t>
  </si>
  <si>
    <t>Lower Middle</t>
  </si>
  <si>
    <t>Middle Income</t>
  </si>
  <si>
    <t>Upper Middle</t>
  </si>
  <si>
    <t>Jan</t>
  </si>
  <si>
    <t>Feb</t>
  </si>
  <si>
    <t>Mar</t>
  </si>
  <si>
    <t>Apr</t>
  </si>
  <si>
    <t>Jun</t>
  </si>
  <si>
    <t>Jul</t>
  </si>
  <si>
    <t>Aug</t>
  </si>
  <si>
    <t>Sep</t>
  </si>
  <si>
    <t>Oct</t>
  </si>
  <si>
    <t>Nov</t>
  </si>
  <si>
    <t>Dec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</si>
</sst>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3">
    <fill>
      <patternFill patternType="none"/>
    </fill>
    <fill>
      <patternFill patternType="gray125"/>
    </fill>
    <fill>
      <patternFill patternType="solid">
        <fgColor rgb="FFF2F4F7"/>
        <bgColor indexed="64"/>
      </patternFill>
    </fill>
  </fills>
  <borders count="1">
    <border>
      <left/>
      <right/>
      <top/>
      <bottom/>
      <diagonal/>
    </border>
  </borders>
  <cellStyleXfs count="1">
    <xf numFmtId="0" fontId="0" fillId="0" borderId="0"/>
  </cellStyleXfs>
  <cellXfs count="9">
    <xf numFmtId="0" fontId="0" fillId="0" borderId="0" xfId="0"/>
    <xf numFmtId="14" fontId="0" fillId="0" borderId="0" xfId="0" applyNumberFormat="1"/>
    <xf numFmtId="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2" borderId="0" xfId="0" applyFill="1"/>
    <xf numFmtId="3" fontId="0" fillId="0" borderId="0" xfId="0" applyNumberFormat="1"/>
    <xf numFmtId="0" fontId="0" fillId="0" borderId="0" xfId="0" applyNumberFormat="1"/>
  </cellXfs>
  <cellStyles count="1">
    <cellStyle name="Normal" xfId="0" builtinId="0"/>
  </cellStyles>
  <dxfs count="14">
    <dxf>
      <numFmt numFmtId="19" formatCode="dd/mm/yyyy"/>
    </dxf>
    <dxf>
      <numFmt numFmtId="4" formatCode="#,##0.00"/>
    </dxf>
    <dxf>
      <numFmt numFmtId="3" formatCode="#,##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208184"/>
      <color rgb="FFEC8B3A"/>
      <color rgb="FF5C8D5C"/>
      <color rgb="FF2A5298"/>
      <color rgb="FF78A0DC"/>
      <color rgb="FF5783D1"/>
      <color rgb="FF5C8E5C"/>
      <color rgb="FFF2F4F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openxmlformats.org/officeDocument/2006/relationships/pivotCacheDefinition" Target="pivotCache/pivotCacheDefinition10.xml"/><Relationship Id="rId26" Type="http://schemas.openxmlformats.org/officeDocument/2006/relationships/styles" Target="styles.xml"/><Relationship Id="rId3" Type="http://schemas.openxmlformats.org/officeDocument/2006/relationships/worksheet" Target="worksheets/sheet3.xml"/><Relationship Id="rId21" Type="http://schemas.microsoft.com/office/2007/relationships/slicerCache" Target="slicerCaches/slicerCache3.xml"/><Relationship Id="rId34"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pivotCacheDefinition" Target="pivotCache/pivotCacheDefinition9.xml"/><Relationship Id="rId25" Type="http://schemas.openxmlformats.org/officeDocument/2006/relationships/connections" Target="connections.xml"/><Relationship Id="rId33"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pivotCacheDefinition" Target="pivotCache/pivotCacheDefinition8.xml"/><Relationship Id="rId20" Type="http://schemas.microsoft.com/office/2007/relationships/slicerCache" Target="slicerCaches/slicerCache2.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theme" Target="theme/theme1.xml"/><Relationship Id="rId32"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microsoft.com/office/2007/relationships/slicerCache" Target="slicerCaches/slicerCache5.xml"/><Relationship Id="rId28" Type="http://schemas.openxmlformats.org/officeDocument/2006/relationships/powerPivotData" Target="model/item.data"/><Relationship Id="rId36" Type="http://schemas.microsoft.com/office/2006/relationships/vbaProject" Target="vbaProject.bin"/><Relationship Id="rId10" Type="http://schemas.openxmlformats.org/officeDocument/2006/relationships/pivotCacheDefinition" Target="pivotCache/pivotCacheDefinition2.xml"/><Relationship Id="rId19" Type="http://schemas.microsoft.com/office/2007/relationships/slicerCache" Target="slicerCaches/slicerCache1.xml"/><Relationship Id="rId31"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microsoft.com/office/2007/relationships/slicerCache" Target="slicerCaches/slicerCache4.xml"/><Relationship Id="rId27" Type="http://schemas.openxmlformats.org/officeDocument/2006/relationships/sharedStrings" Target="sharedStrings.xml"/><Relationship Id="rId30" Type="http://schemas.openxmlformats.org/officeDocument/2006/relationships/customXml" Target="../customXml/item1.xml"/><Relationship Id="rId35" Type="http://schemas.openxmlformats.org/officeDocument/2006/relationships/customXml" Target="../customXml/item6.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Income!PivotTable4</c:name>
    <c:fmtId val="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Income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manualLayout>
          <c:layoutTarget val="inner"/>
          <c:xMode val="edge"/>
          <c:yMode val="edge"/>
          <c:x val="0.20331364829396326"/>
          <c:y val="0.31251239428404781"/>
          <c:w val="0.37462270341207349"/>
          <c:h val="0.62437117235345585"/>
        </c:manualLayout>
      </c:layout>
      <c:doughnutChart>
        <c:varyColors val="1"/>
        <c:ser>
          <c:idx val="0"/>
          <c:order val="0"/>
          <c:tx>
            <c:strRef>
              <c:f>'Total Sales by Income'!$B$3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5DB-4602-863B-355D243686A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5DB-4602-863B-355D243686A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5DB-4602-863B-355D243686A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5DB-4602-863B-355D243686A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5DB-4602-863B-355D243686A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by Income'!$A$4:$A$9</c:f>
              <c:strCache>
                <c:ptCount val="5"/>
                <c:pt idx="0">
                  <c:v>High Income</c:v>
                </c:pt>
                <c:pt idx="1">
                  <c:v>Low Income</c:v>
                </c:pt>
                <c:pt idx="2">
                  <c:v>Lower Middle</c:v>
                </c:pt>
                <c:pt idx="3">
                  <c:v>Middle Income</c:v>
                </c:pt>
                <c:pt idx="4">
                  <c:v>Upper Middle</c:v>
                </c:pt>
              </c:strCache>
            </c:strRef>
          </c:cat>
          <c:val>
            <c:numRef>
              <c:f>'Total Sales by Income'!$B$4:$B$9</c:f>
              <c:numCache>
                <c:formatCode>General</c:formatCode>
                <c:ptCount val="5"/>
                <c:pt idx="0">
                  <c:v>726451.64</c:v>
                </c:pt>
                <c:pt idx="1">
                  <c:v>786059.44</c:v>
                </c:pt>
                <c:pt idx="2">
                  <c:v>1488308.65</c:v>
                </c:pt>
                <c:pt idx="3">
                  <c:v>1086613.05</c:v>
                </c:pt>
                <c:pt idx="4">
                  <c:v>1127335.1399999999</c:v>
                </c:pt>
              </c:numCache>
            </c:numRef>
          </c:val>
          <c:extLst>
            <c:ext xmlns:c16="http://schemas.microsoft.com/office/drawing/2014/chart" uri="{C3380CC4-5D6E-409C-BE32-E72D297353CC}">
              <c16:uniqueId val="{00000000-21BE-4835-BC35-EFCB32571D8E}"/>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Gender!PivotTable1</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Total</a:t>
            </a:r>
            <a:r>
              <a:rPr lang="en-US" b="1" baseline="0"/>
              <a:t> Sales by Gender</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doughnutChart>
        <c:varyColors val="1"/>
        <c:ser>
          <c:idx val="0"/>
          <c:order val="0"/>
          <c:tx>
            <c:strRef>
              <c:f>'Total Sales by Gender'!$B$3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12D-4E4D-A65A-3578AFE7D3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12D-4E4D-A65A-3578AFE7D3CD}"/>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'Total Sales by Gender'!$A$4:$A$6</c:f>
              <c:strCache>
                <c:ptCount val="2"/>
                <c:pt idx="0">
                  <c:v>F</c:v>
                </c:pt>
                <c:pt idx="1">
                  <c:v>M</c:v>
                </c:pt>
              </c:strCache>
            </c:strRef>
          </c:cat>
          <c:val>
            <c:numRef>
              <c:f>'Total Sales by Gender'!$B$4:$B$6</c:f>
              <c:numCache>
                <c:formatCode>General</c:formatCode>
                <c:ptCount val="2"/>
                <c:pt idx="0">
                  <c:v>2490629.13</c:v>
                </c:pt>
                <c:pt idx="1">
                  <c:v>2724138.79</c:v>
                </c:pt>
              </c:numCache>
            </c:numRef>
          </c:val>
          <c:extLst>
            <c:ext xmlns:c16="http://schemas.microsoft.com/office/drawing/2014/chart" uri="{C3380CC4-5D6E-409C-BE32-E72D297353CC}">
              <c16:uniqueId val="{00000000-BC49-46C7-99BA-1F576D91AD8E}"/>
            </c:ext>
          </c:extLst>
        </c:ser>
        <c:dLbls>
          <c:showLegendKey val="0"/>
          <c:showVal val="0"/>
          <c:showCatName val="0"/>
          <c:showSerName val="0"/>
          <c:showPercent val="0"/>
          <c:showBubbleSize val="0"/>
          <c:showLeaderLines val="0"/>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Region!PivotTable1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C8D5C"/>
          </a:solidFill>
          <a:ln>
            <a:noFill/>
          </a:ln>
          <a:effectLst/>
        </c:spPr>
        <c:dLbl>
          <c:idx val="0"/>
          <c:layout>
            <c:manualLayout>
              <c:x val="0"/>
              <c:y val="9.189997083697871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EC8B3A"/>
          </a:solidFill>
          <a:ln>
            <a:noFill/>
          </a:ln>
          <a:effectLst/>
        </c:spPr>
        <c:dLbl>
          <c:idx val="0"/>
          <c:layout>
            <c:manualLayout>
              <c:x val="1.3888998250218722E-2"/>
              <c:y val="5.64074803149606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Lst>
        </c:dLbl>
      </c:pivotFmt>
      <c:pivotFmt>
        <c:idx val="3"/>
        <c:spPr>
          <a:solidFill>
            <a:schemeClr val="accent1"/>
          </a:solidFill>
          <a:ln>
            <a:noFill/>
          </a:ln>
          <a:effectLst/>
        </c:spPr>
      </c:pivotFmt>
    </c:pivotFmts>
    <c:plotArea>
      <c:layout/>
      <c:barChart>
        <c:barDir val="col"/>
        <c:grouping val="clustered"/>
        <c:varyColors val="1"/>
        <c:ser>
          <c:idx val="0"/>
          <c:order val="0"/>
          <c:tx>
            <c:strRef>
              <c:f>'Total Sales by Region'!$B$3</c:f>
              <c:strCache>
                <c:ptCount val="1"/>
                <c:pt idx="0">
                  <c:v>Total</c:v>
                </c:pt>
              </c:strCache>
            </c:strRef>
          </c:tx>
          <c:invertIfNegative val="0"/>
          <c:dPt>
            <c:idx val="0"/>
            <c:invertIfNegative val="0"/>
            <c:bubble3D val="0"/>
            <c:spPr>
              <a:solidFill>
                <a:srgbClr val="5C8D5C"/>
              </a:solidFill>
              <a:ln>
                <a:noFill/>
              </a:ln>
              <a:effectLst/>
            </c:spPr>
            <c:extLst>
              <c:ext xmlns:c16="http://schemas.microsoft.com/office/drawing/2014/chart" uri="{C3380CC4-5D6E-409C-BE32-E72D297353CC}">
                <c16:uniqueId val="{00000000-EF69-4E89-AAC0-48D35BFB6F93}"/>
              </c:ext>
            </c:extLst>
          </c:dPt>
          <c:dPt>
            <c:idx val="1"/>
            <c:invertIfNegative val="0"/>
            <c:bubble3D val="0"/>
            <c:spPr>
              <a:solidFill>
                <a:srgbClr val="EC8B3A"/>
              </a:solidFill>
              <a:ln>
                <a:noFill/>
              </a:ln>
              <a:effectLst/>
            </c:spPr>
            <c:extLst>
              <c:ext xmlns:c16="http://schemas.microsoft.com/office/drawing/2014/chart" uri="{C3380CC4-5D6E-409C-BE32-E72D297353CC}">
                <c16:uniqueId val="{00000001-EF69-4E89-AAC0-48D35BFB6F93}"/>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2-EF69-4E89-AAC0-48D35BFB6F93}"/>
              </c:ext>
            </c:extLst>
          </c:dPt>
          <c:dLbls>
            <c:dLbl>
              <c:idx val="0"/>
              <c:layout>
                <c:manualLayout>
                  <c:x val="0"/>
                  <c:y val="9.189997083697871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F69-4E89-AAC0-48D35BFB6F93}"/>
                </c:ext>
              </c:extLst>
            </c:dLbl>
            <c:dLbl>
              <c:idx val="1"/>
              <c:layout>
                <c:manualLayout>
                  <c:x val="1.3888998250218722E-2"/>
                  <c:y val="5.64074803149606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 xmlns:c16="http://schemas.microsoft.com/office/drawing/2014/chart" uri="{C3380CC4-5D6E-409C-BE32-E72D297353CC}">
                  <c16:uniqueId val="{00000001-EF69-4E89-AAC0-48D35BFB6F93}"/>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1602403.55</c:v>
                </c:pt>
                <c:pt idx="1">
                  <c:v>2603861.66</c:v>
                </c:pt>
                <c:pt idx="2">
                  <c:v>1008502.71</c:v>
                </c:pt>
              </c:numCache>
            </c:numRef>
          </c:val>
          <c:extLst>
            <c:ext xmlns:c16="http://schemas.microsoft.com/office/drawing/2014/chart" uri="{C3380CC4-5D6E-409C-BE32-E72D297353CC}">
              <c16:uniqueId val="{00000000-5A30-4A03-946E-77D7CE62340F}"/>
            </c:ext>
          </c:extLst>
        </c:ser>
        <c:dLbls>
          <c:dLblPos val="inEnd"/>
          <c:showLegendKey val="0"/>
          <c:showVal val="1"/>
          <c:showCatName val="0"/>
          <c:showSerName val="0"/>
          <c:showPercent val="0"/>
          <c:showBubbleSize val="0"/>
        </c:dLbls>
        <c:gapWidth val="219"/>
        <c:overlap val="-27"/>
        <c:axId val="1057226400"/>
        <c:axId val="1057227840"/>
      </c:barChart>
      <c:catAx>
        <c:axId val="1057226400"/>
        <c:scaling>
          <c:orientation val="minMax"/>
        </c:scaling>
        <c:delete val="1"/>
        <c:axPos val="b"/>
        <c:numFmt formatCode="General" sourceLinked="1"/>
        <c:majorTickMark val="none"/>
        <c:minorTickMark val="none"/>
        <c:tickLblPos val="nextTo"/>
        <c:crossAx val="1057227840"/>
        <c:crosses val="autoZero"/>
        <c:auto val="1"/>
        <c:lblAlgn val="ctr"/>
        <c:lblOffset val="100"/>
        <c:noMultiLvlLbl val="0"/>
      </c:catAx>
      <c:valAx>
        <c:axId val="1057227840"/>
        <c:scaling>
          <c:orientation val="minMax"/>
        </c:scaling>
        <c:delete val="1"/>
        <c:axPos val="l"/>
        <c:numFmt formatCode="General" sourceLinked="1"/>
        <c:majorTickMark val="none"/>
        <c:minorTickMark val="none"/>
        <c:tickLblPos val="nextTo"/>
        <c:crossAx val="105722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[Sales_Performance_Dashboard.xlsm]Sales by Category &amp; Sub-Categor!PivotTable2</c:name>
    <c:fmtId val="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b="1"/>
              <a:t>Sales</a:t>
            </a:r>
            <a:r>
              <a:rPr lang="en-IN" b="1" baseline="0"/>
              <a:t> by Category &amp; Sub-Category</a:t>
            </a:r>
            <a:endParaRPr lang="en-IN" b="1"/>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IN"/>
        </a:p>
      </c:txPr>
    </c:title>
    <c:autoTitleDeleted val="0"/>
    <c:pivotFmts>
      <c:pivotFmt>
        <c:idx val="0"/>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pivotFmt>
      <c:pivotFmt>
        <c:idx val="2"/>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3"/>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4"/>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5"/>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6"/>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pivotFmt>
      <c:pivotFmt>
        <c:idx val="7"/>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pivotFmt>
      <c:pivotFmt>
        <c:idx val="8"/>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pivotFmt>
      <c:pivotFmt>
        <c:idx val="9"/>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pivotFmt>
      <c:pivotFmt>
        <c:idx val="10"/>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pivotFmt>
      <c:pivotFmt>
        <c:idx val="11"/>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pivotFmt>
    </c:pivotFmts>
    <c:plotArea>
      <c:layout/>
      <c:barChart>
        <c:barDir val="col"/>
        <c:grouping val="clustered"/>
        <c:varyColors val="0"/>
        <c:ser>
          <c:idx val="0"/>
          <c:order val="0"/>
          <c:tx>
            <c:strRef>
              <c:f>'Sales by Category &amp; Sub-Categor'!$B$3</c:f>
              <c:strCache>
                <c:ptCount val="1"/>
                <c:pt idx="0">
                  <c:v>Total</c:v>
                </c:pt>
              </c:strCache>
            </c:strRef>
          </c:tx>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invertIfNegative val="0"/>
          <c:dPt>
            <c:idx val="0"/>
            <c:invertIfNegative val="0"/>
            <c:bubble3D val="0"/>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extLst>
              <c:ext xmlns:c16="http://schemas.microsoft.com/office/drawing/2014/chart" uri="{C3380CC4-5D6E-409C-BE32-E72D297353CC}">
                <c16:uniqueId val="{00000002-088C-4C3D-BE20-AE8396937EFE}"/>
              </c:ext>
            </c:extLst>
          </c:dPt>
          <c:dPt>
            <c:idx val="1"/>
            <c:invertIfNegative val="0"/>
            <c:bubble3D val="0"/>
            <c:extLst>
              <c:ext xmlns:c16="http://schemas.microsoft.com/office/drawing/2014/chart" uri="{C3380CC4-5D6E-409C-BE32-E72D297353CC}">
                <c16:uniqueId val="{00000003-D3F5-46F8-BFBE-C85C65A4C91A}"/>
              </c:ext>
            </c:extLst>
          </c:dPt>
          <c:dPt>
            <c:idx val="2"/>
            <c:invertIfNegative val="0"/>
            <c:bubble3D val="0"/>
            <c:extLst>
              <c:ext xmlns:c16="http://schemas.microsoft.com/office/drawing/2014/chart" uri="{C3380CC4-5D6E-409C-BE32-E72D297353CC}">
                <c16:uniqueId val="{00000005-D3F5-46F8-BFBE-C85C65A4C91A}"/>
              </c:ext>
            </c:extLst>
          </c:dPt>
          <c:dPt>
            <c:idx val="3"/>
            <c:invertIfNegative val="0"/>
            <c:bubble3D val="0"/>
            <c:extLst>
              <c:ext xmlns:c16="http://schemas.microsoft.com/office/drawing/2014/chart" uri="{C3380CC4-5D6E-409C-BE32-E72D297353CC}">
                <c16:uniqueId val="{00000007-D3F5-46F8-BFBE-C85C65A4C91A}"/>
              </c:ext>
            </c:extLst>
          </c:dPt>
          <c:dPt>
            <c:idx val="5"/>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3-73D7-477C-81CC-CAA5E36D1049}"/>
              </c:ext>
            </c:extLst>
          </c:dPt>
          <c:dPt>
            <c:idx val="6"/>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5-73D7-477C-81CC-CAA5E36D1049}"/>
              </c:ext>
            </c:extLst>
          </c:dPt>
          <c:dPt>
            <c:idx val="7"/>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7-73D7-477C-81CC-CAA5E36D1049}"/>
              </c:ext>
            </c:extLst>
          </c:dPt>
          <c:dPt>
            <c:idx val="8"/>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9-73D7-477C-81CC-CAA5E36D1049}"/>
              </c:ext>
            </c:extLst>
          </c:dPt>
          <c:dPt>
            <c:idx val="9"/>
            <c:invertIfNegative val="0"/>
            <c:bubble3D val="0"/>
            <c:extLst>
              <c:ext xmlns:c16="http://schemas.microsoft.com/office/drawing/2014/chart" uri="{C3380CC4-5D6E-409C-BE32-E72D297353CC}">
                <c16:uniqueId val="{0000000B-73D7-477C-81CC-CAA5E36D1049}"/>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by Category &amp; Sub-Categor'!$A$4:$A$16</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'Sales by Category &amp; Sub-Categor'!$B$4:$B$16</c:f>
              <c:numCache>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0-088C-4C3D-BE20-AE8396937EFE}"/>
            </c:ext>
          </c:extLst>
        </c:ser>
        <c:dLbls>
          <c:dLblPos val="outEnd"/>
          <c:showLegendKey val="0"/>
          <c:showVal val="1"/>
          <c:showCatName val="0"/>
          <c:showSerName val="0"/>
          <c:showPercent val="0"/>
          <c:showBubbleSize val="0"/>
        </c:dLbls>
        <c:gapWidth val="182"/>
        <c:axId val="319771568"/>
        <c:axId val="1066778720"/>
      </c:barChart>
      <c:catAx>
        <c:axId val="319771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66778720"/>
        <c:crosses val="autoZero"/>
        <c:auto val="1"/>
        <c:lblAlgn val="ctr"/>
        <c:lblOffset val="100"/>
        <c:noMultiLvlLbl val="0"/>
      </c:catAx>
      <c:valAx>
        <c:axId val="1066778720"/>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1977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[Sales_Performance_Dashboard.xlsm]Monthly Sales Trend!PivotTable3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ln w="28575" cap="rnd">
            <a:solidFill>
              <a:schemeClr val="accent1"/>
            </a:solidFill>
            <a:round/>
          </a:ln>
          <a:effectLst/>
        </c:spPr>
        <c:marker>
          <c:symbol val="circle"/>
          <c:size val="5"/>
          <c:spPr>
            <a:solidFill>
              <a:schemeClr val="accent1"/>
            </a:solidFill>
            <a:ln w="9525">
              <a:no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'Monthly 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0-58AF-4B15-92AB-AF051E0307FD}"/>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6999-459F-B210-D8A5B60557C8}"/>
              </c:ext>
            </c:extLst>
          </c:dPt>
          <c:dPt>
            <c:idx val="7"/>
            <c:marker>
              <c:symbol val="circle"/>
              <c:size val="5"/>
              <c:spPr>
                <a:solidFill>
                  <a:schemeClr val="accent1"/>
                </a:solidFill>
                <a:ln w="9525">
                  <a:noFill/>
                </a:ln>
                <a:effectLst/>
              </c:spPr>
            </c:marker>
            <c:bubble3D val="0"/>
            <c:extLst>
              <c:ext xmlns:c16="http://schemas.microsoft.com/office/drawing/2014/chart" uri="{C3380CC4-5D6E-409C-BE32-E72D297353CC}">
                <c16:uniqueId val="{00000007-58AF-4B15-92AB-AF051E0307FD}"/>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c:v>
                </c:pt>
                <c:pt idx="1">
                  <c:v>400931.36</c:v>
                </c:pt>
                <c:pt idx="2">
                  <c:v>451788.78</c:v>
                </c:pt>
                <c:pt idx="3">
                  <c:v>390158.82</c:v>
                </c:pt>
                <c:pt idx="4">
                  <c:v>451959.46</c:v>
                </c:pt>
                <c:pt idx="5">
                  <c:v>433699.03</c:v>
                </c:pt>
                <c:pt idx="6">
                  <c:v>412771.14</c:v>
                </c:pt>
                <c:pt idx="7">
                  <c:v>342108.93</c:v>
                </c:pt>
                <c:pt idx="8">
                  <c:v>453883.06</c:v>
                </c:pt>
                <c:pt idx="9">
                  <c:v>522872.18</c:v>
                </c:pt>
                <c:pt idx="10">
                  <c:v>464175.67</c:v>
                </c:pt>
                <c:pt idx="11">
                  <c:v>446848.92</c:v>
                </c:pt>
              </c:numCache>
            </c:numRef>
          </c:val>
          <c:smooth val="0"/>
          <c:extLst>
            <c:ext xmlns:c16="http://schemas.microsoft.com/office/drawing/2014/chart" uri="{C3380CC4-5D6E-409C-BE32-E72D297353CC}">
              <c16:uniqueId val="{00000000-35BB-489F-A763-EA50C535C2A8}"/>
            </c:ext>
          </c:extLst>
        </c:ser>
        <c:dLbls>
          <c:dLblPos val="t"/>
          <c:showLegendKey val="0"/>
          <c:showVal val="1"/>
          <c:showCatName val="0"/>
          <c:showSerName val="0"/>
          <c:showPercent val="0"/>
          <c:showBubbleSize val="0"/>
        </c:dLbls>
        <c:marker val="1"/>
        <c:smooth val="0"/>
        <c:axId val="1164808144"/>
        <c:axId val="1164810064"/>
      </c:lineChart>
      <c:catAx>
        <c:axId val="1164808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10064"/>
        <c:crosses val="autoZero"/>
        <c:auto val="1"/>
        <c:lblAlgn val="ctr"/>
        <c:lblOffset val="100"/>
        <c:noMultiLvlLbl val="0"/>
      </c:catAx>
      <c:valAx>
        <c:axId val="1164810064"/>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08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Region!PivotTable1</c:name>
    <c:fmtId val="20"/>
  </c:pivotSource>
  <c:chart>
    <c:title>
      <c:tx>
        <c:rich>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r>
              <a:rPr lang="en-US" b="1">
                <a:solidFill>
                  <a:sysClr val="windowText" lastClr="000000"/>
                </a:solidFill>
              </a:rPr>
              <a:t>Total Sales by Region</a:t>
            </a:r>
          </a:p>
        </c:rich>
      </c:tx>
      <c:overlay val="0"/>
      <c:spPr>
        <a:noFill/>
        <a:ln>
          <a:noFill/>
        </a:ln>
        <a:effectLst/>
      </c:spPr>
      <c:txPr>
        <a:bodyPr rot="0" spcFirstLastPara="1" vertOverflow="ellipsis" vert="horz" wrap="square" anchor="ctr" anchorCtr="1"/>
        <a:lstStyle/>
        <a:p>
          <a:pPr>
            <a:defRPr sz="1400" b="1"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C8D5C"/>
          </a:solidFill>
          <a:ln>
            <a:noFill/>
          </a:ln>
          <a:effectLst/>
        </c:spPr>
        <c:dLbl>
          <c:idx val="0"/>
          <c:layout>
            <c:manualLayout>
              <c:x val="0"/>
              <c:y val="9.189997083697871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783D1"/>
          </a:solidFill>
          <a:ln>
            <a:noFill/>
          </a:ln>
          <a:effectLst/>
        </c:spPr>
        <c:dLbl>
          <c:idx val="0"/>
          <c:layout>
            <c:manualLayout>
              <c:x val="8.3334426946632175E-3"/>
              <c:y val="4.15974044911052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2030110819480898"/>
                </c:manualLayout>
              </c15:layout>
            </c:ext>
          </c:extLst>
        </c:dLbl>
      </c:pivotFmt>
      <c:pivotFmt>
        <c:idx val="3"/>
        <c:spPr>
          <a:solidFill>
            <a:srgbClr val="EC8B3A"/>
          </a:solidFill>
          <a:ln>
            <a:noFill/>
          </a:ln>
          <a:effectLst/>
        </c:spPr>
        <c:dLbl>
          <c:idx val="0"/>
          <c:layout>
            <c:manualLayout>
              <c:x val="1.3888998250218722E-2"/>
              <c:y val="5.64074803149606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5C8D5C"/>
          </a:solidFill>
          <a:ln>
            <a:noFill/>
          </a:ln>
          <a:effectLst/>
        </c:spPr>
        <c:dLbl>
          <c:idx val="0"/>
          <c:layout>
            <c:manualLayout>
              <c:x val="0"/>
              <c:y val="9.1899970836978716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5783D1"/>
          </a:solidFill>
          <a:ln>
            <a:noFill/>
          </a:ln>
          <a:effectLst/>
        </c:spPr>
        <c:dLbl>
          <c:idx val="0"/>
          <c:layout>
            <c:manualLayout>
              <c:x val="8.3334426946632175E-3"/>
              <c:y val="4.1597404491105279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2030110819480898"/>
                </c:manualLayout>
              </c15:layout>
            </c:ext>
          </c:extLst>
        </c:dLbl>
      </c:pivotFmt>
      <c:pivotFmt>
        <c:idx val="7"/>
        <c:spPr>
          <a:solidFill>
            <a:srgbClr val="EC8B3A"/>
          </a:solidFill>
          <a:ln>
            <a:noFill/>
          </a:ln>
          <a:effectLst/>
        </c:spPr>
        <c:dLbl>
          <c:idx val="0"/>
          <c:layout>
            <c:manualLayout>
              <c:x val="1.3888998250218722E-2"/>
              <c:y val="5.640748031496063E-2"/>
            </c:manualLayout>
          </c:layout>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5C8D5C"/>
          </a:solidFill>
          <a:ln>
            <a:noFill/>
          </a:ln>
          <a:effectLst/>
        </c:spPr>
        <c:dLbl>
          <c:idx val="0"/>
          <c:layout>
            <c:manualLayout>
              <c:x val="0"/>
              <c:y val="9.1899970836978716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5783D1"/>
          </a:solidFill>
          <a:ln>
            <a:noFill/>
          </a:ln>
          <a:effectLst/>
        </c:spPr>
        <c:dLbl>
          <c:idx val="0"/>
          <c:layout>
            <c:manualLayout>
              <c:x val="8.3334426946632175E-3"/>
              <c:y val="4.1597404491105279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2030110819480898"/>
                </c:manualLayout>
              </c15:layout>
            </c:ext>
          </c:extLst>
        </c:dLbl>
      </c:pivotFmt>
      <c:pivotFmt>
        <c:idx val="11"/>
        <c:spPr>
          <a:solidFill>
            <a:srgbClr val="EC8B3A"/>
          </a:solidFill>
          <a:ln>
            <a:noFill/>
          </a:ln>
          <a:effectLst/>
        </c:spPr>
        <c:dLbl>
          <c:idx val="0"/>
          <c:layout>
            <c:manualLayout>
              <c:x val="1.3888998250218722E-2"/>
              <c:y val="5.64074803149606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Lst>
        </c:dLbl>
      </c:pivotFmt>
    </c:pivotFmts>
    <c:plotArea>
      <c:layout/>
      <c:barChart>
        <c:barDir val="col"/>
        <c:grouping val="clustered"/>
        <c:varyColors val="1"/>
        <c:ser>
          <c:idx val="0"/>
          <c:order val="0"/>
          <c:tx>
            <c:strRef>
              <c:f>'Total Sales by Region'!$B$3</c:f>
              <c:strCache>
                <c:ptCount val="1"/>
                <c:pt idx="0">
                  <c:v>Total</c:v>
                </c:pt>
              </c:strCache>
            </c:strRef>
          </c:tx>
          <c:invertIfNegative val="0"/>
          <c:dPt>
            <c:idx val="0"/>
            <c:invertIfNegative val="0"/>
            <c:bubble3D val="0"/>
            <c:spPr>
              <a:solidFill>
                <a:srgbClr val="5C8D5C"/>
              </a:solidFill>
              <a:ln>
                <a:noFill/>
              </a:ln>
              <a:effectLst/>
            </c:spPr>
            <c:extLst>
              <c:ext xmlns:c16="http://schemas.microsoft.com/office/drawing/2014/chart" uri="{C3380CC4-5D6E-409C-BE32-E72D297353CC}">
                <c16:uniqueId val="{00000001-CA25-49D3-97F8-D4C7CC38E0F1}"/>
              </c:ext>
            </c:extLst>
          </c:dPt>
          <c:dPt>
            <c:idx val="1"/>
            <c:invertIfNegative val="0"/>
            <c:bubble3D val="0"/>
            <c:spPr>
              <a:solidFill>
                <a:srgbClr val="5783D1"/>
              </a:solidFill>
              <a:ln>
                <a:noFill/>
              </a:ln>
              <a:effectLst/>
            </c:spPr>
            <c:extLst>
              <c:ext xmlns:c16="http://schemas.microsoft.com/office/drawing/2014/chart" uri="{C3380CC4-5D6E-409C-BE32-E72D297353CC}">
                <c16:uniqueId val="{00000003-CA25-49D3-97F8-D4C7CC38E0F1}"/>
              </c:ext>
            </c:extLst>
          </c:dPt>
          <c:dPt>
            <c:idx val="2"/>
            <c:invertIfNegative val="0"/>
            <c:bubble3D val="0"/>
            <c:spPr>
              <a:solidFill>
                <a:srgbClr val="EC8B3A"/>
              </a:solidFill>
              <a:ln>
                <a:noFill/>
              </a:ln>
              <a:effectLst/>
            </c:spPr>
            <c:extLst>
              <c:ext xmlns:c16="http://schemas.microsoft.com/office/drawing/2014/chart" uri="{C3380CC4-5D6E-409C-BE32-E72D297353CC}">
                <c16:uniqueId val="{00000005-CA25-49D3-97F8-D4C7CC38E0F1}"/>
              </c:ext>
            </c:extLst>
          </c:dPt>
          <c:dLbls>
            <c:dLbl>
              <c:idx val="0"/>
              <c:layout>
                <c:manualLayout>
                  <c:x val="0"/>
                  <c:y val="9.1899970836978716E-3"/>
                </c:manualLayout>
              </c:layout>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CA25-49D3-97F8-D4C7CC38E0F1}"/>
                </c:ext>
              </c:extLst>
            </c:dLbl>
            <c:dLbl>
              <c:idx val="1"/>
              <c:layout>
                <c:manualLayout>
                  <c:x val="8.3334426946632175E-3"/>
                  <c:y val="4.1597404491105279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2030110819480898"/>
                    </c:manualLayout>
                  </c15:layout>
                </c:ext>
                <c:ext xmlns:c16="http://schemas.microsoft.com/office/drawing/2014/chart" uri="{C3380CC4-5D6E-409C-BE32-E72D297353CC}">
                  <c16:uniqueId val="{00000003-CA25-49D3-97F8-D4C7CC38E0F1}"/>
                </c:ext>
              </c:extLst>
            </c:dLbl>
            <c:dLbl>
              <c:idx val="2"/>
              <c:layout>
                <c:manualLayout>
                  <c:x val="1.3888998250218722E-2"/>
                  <c:y val="5.640748031496063E-2"/>
                </c:manualLayout>
              </c:layout>
              <c:numFmt formatCode="#,##0" sourceLinked="0"/>
              <c:spPr>
                <a:no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0.13697222222222219"/>
                      <c:h val="0.18511592300962379"/>
                    </c:manualLayout>
                  </c15:layout>
                </c:ext>
                <c:ext xmlns:c16="http://schemas.microsoft.com/office/drawing/2014/chart" uri="{C3380CC4-5D6E-409C-BE32-E72D297353CC}">
                  <c16:uniqueId val="{00000005-CA25-49D3-97F8-D4C7CC38E0F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'Total Sales by Region'!$A$4:$A$7</c:f>
              <c:strCache>
                <c:ptCount val="3"/>
                <c:pt idx="0">
                  <c:v>Europe</c:v>
                </c:pt>
                <c:pt idx="1">
                  <c:v>North America</c:v>
                </c:pt>
                <c:pt idx="2">
                  <c:v>Pacific</c:v>
                </c:pt>
              </c:strCache>
            </c:strRef>
          </c:cat>
          <c:val>
            <c:numRef>
              <c:f>'Total Sales by Region'!$B$4:$B$7</c:f>
              <c:numCache>
                <c:formatCode>General</c:formatCode>
                <c:ptCount val="3"/>
                <c:pt idx="0">
                  <c:v>1602403.55</c:v>
                </c:pt>
                <c:pt idx="1">
                  <c:v>2603861.66</c:v>
                </c:pt>
                <c:pt idx="2">
                  <c:v>1008502.71</c:v>
                </c:pt>
              </c:numCache>
            </c:numRef>
          </c:val>
          <c:extLst>
            <c:ext xmlns:c16="http://schemas.microsoft.com/office/drawing/2014/chart" uri="{C3380CC4-5D6E-409C-BE32-E72D297353CC}">
              <c16:uniqueId val="{00000006-CA25-49D3-97F8-D4C7CC38E0F1}"/>
            </c:ext>
          </c:extLst>
        </c:ser>
        <c:dLbls>
          <c:dLblPos val="inEnd"/>
          <c:showLegendKey val="0"/>
          <c:showVal val="1"/>
          <c:showCatName val="0"/>
          <c:showSerName val="0"/>
          <c:showPercent val="0"/>
          <c:showBubbleSize val="0"/>
        </c:dLbls>
        <c:gapWidth val="219"/>
        <c:overlap val="-27"/>
        <c:axId val="1057226400"/>
        <c:axId val="1057227840"/>
      </c:barChart>
      <c:catAx>
        <c:axId val="1057226400"/>
        <c:scaling>
          <c:orientation val="minMax"/>
        </c:scaling>
        <c:delete val="1"/>
        <c:axPos val="b"/>
        <c:numFmt formatCode="General" sourceLinked="1"/>
        <c:majorTickMark val="none"/>
        <c:minorTickMark val="none"/>
        <c:tickLblPos val="nextTo"/>
        <c:crossAx val="1057227840"/>
        <c:crosses val="autoZero"/>
        <c:auto val="1"/>
        <c:lblAlgn val="ctr"/>
        <c:lblOffset val="100"/>
        <c:noMultiLvlLbl val="0"/>
      </c:catAx>
      <c:valAx>
        <c:axId val="1057227840"/>
        <c:scaling>
          <c:orientation val="minMax"/>
        </c:scaling>
        <c:delete val="1"/>
        <c:axPos val="l"/>
        <c:numFmt formatCode="General" sourceLinked="1"/>
        <c:majorTickMark val="none"/>
        <c:minorTickMark val="none"/>
        <c:tickLblPos val="nextTo"/>
        <c:crossAx val="105722640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rnd" cmpd="sng" algn="ctr">
      <a:solidFill>
        <a:sysClr val="windowText" lastClr="000000"/>
      </a:solidFill>
      <a:round/>
    </a:ln>
    <a:effectLst>
      <a:softEdge rad="1270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[Sales_Performance_Dashboard.xlsm]Monthly Sales Trend!PivotTable3</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solidFill>
                  <a:sysClr val="windowText" lastClr="000000"/>
                </a:solidFill>
              </a:rPr>
              <a:t>Monthly Sales Trend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noFill/>
            </a:ln>
            <a:effectLst/>
          </c:spPr>
        </c:marker>
      </c:pivotFmt>
      <c:pivotFmt>
        <c:idx val="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ymbol val="circle"/>
          <c:size val="5"/>
          <c:spPr>
            <a:solidFill>
              <a:schemeClr val="accent1"/>
            </a:solidFill>
            <a:ln w="9525">
              <a:noFill/>
            </a:ln>
            <a:effectLst/>
          </c:spPr>
        </c:marker>
      </c:pivotFmt>
      <c:pivotFmt>
        <c:idx val="1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circle"/>
          <c:size val="5"/>
          <c:spPr>
            <a:solidFill>
              <a:schemeClr val="accent1"/>
            </a:solidFill>
            <a:ln w="9525">
              <a:noFill/>
            </a:ln>
            <a:effectLst/>
          </c:spPr>
        </c:marker>
      </c:pivotFmt>
      <c:pivotFmt>
        <c:idx val="1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ndard"/>
        <c:varyColors val="0"/>
        <c:ser>
          <c:idx val="0"/>
          <c:order val="0"/>
          <c:tx>
            <c:strRef>
              <c:f>'Monthly Sales Trend'!$B$3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Pt>
            <c:idx val="0"/>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49D9-47AB-B090-3E638A723EC0}"/>
              </c:ext>
            </c:extLst>
          </c:dPt>
          <c:dPt>
            <c:idx val="4"/>
            <c:marker>
              <c:symbol val="circle"/>
              <c:size val="5"/>
              <c:spPr>
                <a:solidFill>
                  <a:schemeClr val="accent1"/>
                </a:solidFill>
                <a:ln w="9525">
                  <a:solidFill>
                    <a:schemeClr val="accent1"/>
                  </a:solidFill>
                </a:ln>
                <a:effectLst/>
              </c:spPr>
            </c:marker>
            <c:bubble3D val="0"/>
            <c:extLst>
              <c:ext xmlns:c16="http://schemas.microsoft.com/office/drawing/2014/chart" uri="{C3380CC4-5D6E-409C-BE32-E72D297353CC}">
                <c16:uniqueId val="{00000001-A0AF-4EB5-BF2E-BC9100CE83A4}"/>
              </c:ext>
            </c:extLst>
          </c:dPt>
          <c:dPt>
            <c:idx val="7"/>
            <c:marker>
              <c:symbol val="circle"/>
              <c:size val="5"/>
              <c:spPr>
                <a:solidFill>
                  <a:schemeClr val="accent1"/>
                </a:solidFill>
                <a:ln w="9525">
                  <a:noFill/>
                </a:ln>
                <a:effectLst/>
              </c:spPr>
            </c:marker>
            <c:bubble3D val="0"/>
            <c:extLst>
              <c:ext xmlns:c16="http://schemas.microsoft.com/office/drawing/2014/chart" uri="{C3380CC4-5D6E-409C-BE32-E72D297353CC}">
                <c16:uniqueId val="{00000002-49D9-47AB-B090-3E638A723EC0}"/>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'Monthly Sales Trend'!$A$4:$A$17</c:f>
              <c:multiLvlStrCache>
                <c:ptCount val="12"/>
                <c:lvl>
                  <c:pt idx="0">
                    <c:v>Jan</c:v>
                  </c:pt>
                  <c:pt idx="1">
                    <c:v>Feb</c:v>
                  </c:pt>
                  <c:pt idx="2">
                    <c:v>Mar</c:v>
                  </c:pt>
                  <c:pt idx="3">
                    <c:v>Apr</c:v>
                  </c:pt>
                  <c:pt idx="4">
                    <c:v>May</c:v>
                  </c:pt>
                  <c:pt idx="5">
                    <c:v>Jun</c:v>
                  </c:pt>
                  <c:pt idx="6">
                    <c:v>Jul</c:v>
                  </c:pt>
                  <c:pt idx="7">
                    <c:v>Aug</c:v>
                  </c:pt>
                  <c:pt idx="8">
                    <c:v>Sep</c:v>
                  </c:pt>
                  <c:pt idx="9">
                    <c:v>Oct</c:v>
                  </c:pt>
                  <c:pt idx="10">
                    <c:v>Nov</c:v>
                  </c:pt>
                  <c:pt idx="11">
                    <c:v>Dec</c:v>
                  </c:pt>
                </c:lvl>
                <c:lvl>
                  <c:pt idx="0">
                    <c:v>2023</c:v>
                  </c:pt>
                </c:lvl>
              </c:multiLvlStrCache>
            </c:multiLvlStrRef>
          </c:cat>
          <c:val>
            <c:numRef>
              <c:f>'Monthly Sales Trend'!$B$4:$B$17</c:f>
              <c:numCache>
                <c:formatCode>General</c:formatCode>
                <c:ptCount val="12"/>
                <c:pt idx="0">
                  <c:v>443570.57</c:v>
                </c:pt>
                <c:pt idx="1">
                  <c:v>400931.36</c:v>
                </c:pt>
                <c:pt idx="2">
                  <c:v>451788.78</c:v>
                </c:pt>
                <c:pt idx="3">
                  <c:v>390158.82</c:v>
                </c:pt>
                <c:pt idx="4">
                  <c:v>451959.46</c:v>
                </c:pt>
                <c:pt idx="5">
                  <c:v>433699.03</c:v>
                </c:pt>
                <c:pt idx="6">
                  <c:v>412771.14</c:v>
                </c:pt>
                <c:pt idx="7">
                  <c:v>342108.93</c:v>
                </c:pt>
                <c:pt idx="8">
                  <c:v>453883.06</c:v>
                </c:pt>
                <c:pt idx="9">
                  <c:v>522872.18</c:v>
                </c:pt>
                <c:pt idx="10">
                  <c:v>464175.67</c:v>
                </c:pt>
                <c:pt idx="11">
                  <c:v>446848.92</c:v>
                </c:pt>
              </c:numCache>
            </c:numRef>
          </c:val>
          <c:smooth val="0"/>
          <c:extLst>
            <c:ext xmlns:c16="http://schemas.microsoft.com/office/drawing/2014/chart" uri="{C3380CC4-5D6E-409C-BE32-E72D297353CC}">
              <c16:uniqueId val="{00000003-49D9-47AB-B090-3E638A723EC0}"/>
            </c:ext>
          </c:extLst>
        </c:ser>
        <c:dLbls>
          <c:dLblPos val="t"/>
          <c:showLegendKey val="0"/>
          <c:showVal val="1"/>
          <c:showCatName val="0"/>
          <c:showSerName val="0"/>
          <c:showPercent val="0"/>
          <c:showBubbleSize val="0"/>
        </c:dLbls>
        <c:marker val="1"/>
        <c:smooth val="0"/>
        <c:axId val="1164808144"/>
        <c:axId val="1164810064"/>
      </c:lineChart>
      <c:catAx>
        <c:axId val="116480814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4810064"/>
        <c:crosses val="autoZero"/>
        <c:auto val="1"/>
        <c:lblAlgn val="ctr"/>
        <c:lblOffset val="100"/>
        <c:noMultiLvlLbl val="0"/>
      </c:catAx>
      <c:valAx>
        <c:axId val="1164810064"/>
        <c:scaling>
          <c:orientation val="minMax"/>
        </c:scaling>
        <c:delete val="1"/>
        <c:axPos val="l"/>
        <c:numFmt formatCode="General" sourceLinked="1"/>
        <c:majorTickMark val="out"/>
        <c:minorTickMark val="none"/>
        <c:tickLblPos val="nextTo"/>
        <c:crossAx val="11648081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[Sales_Performance_Dashboard.xlsm]Sales by Category &amp; Sub-Categor!PivotTable2</c:name>
    <c:fmtId val="10"/>
  </c:pivotSource>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IN" sz="1200" b="1"/>
              <a:t>Sales</a:t>
            </a:r>
            <a:r>
              <a:rPr lang="en-IN" sz="1200" b="1" baseline="0"/>
              <a:t> by Category &amp; Sub-Category</a:t>
            </a:r>
            <a:endParaRPr lang="en-IN" sz="1200" b="1"/>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IN"/>
        </a:p>
      </c:txPr>
    </c:title>
    <c:autoTitleDeleted val="0"/>
    <c:pivotFmts>
      <c:pivotFmt>
        <c:idx val="0"/>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pivotFmt>
      <c:pivotFmt>
        <c:idx val="2"/>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3"/>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4"/>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5"/>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6"/>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7"/>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pivotFmt>
      <c:pivotFmt>
        <c:idx val="9"/>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1"/>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2"/>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3"/>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4"/>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marker>
          <c:symbol val="none"/>
        </c:marker>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5"/>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pivotFmt>
      <c:pivotFmt>
        <c:idx val="16"/>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7"/>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8"/>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19"/>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
        <c:idx val="2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pivotFmt>
    </c:pivotFmts>
    <c:plotArea>
      <c:layout/>
      <c:barChart>
        <c:barDir val="col"/>
        <c:grouping val="clustered"/>
        <c:varyColors val="0"/>
        <c:ser>
          <c:idx val="0"/>
          <c:order val="0"/>
          <c:tx>
            <c:strRef>
              <c:f>'Sales by Category &amp; Sub-Categor'!$B$3</c:f>
              <c:strCache>
                <c:ptCount val="1"/>
                <c:pt idx="0">
                  <c:v>Total</c:v>
                </c:pt>
              </c:strCache>
            </c:strRef>
          </c:tx>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noFill/>
            </a:ln>
            <a:effectLst/>
          </c:spPr>
          <c:invertIfNegative val="0"/>
          <c:dPt>
            <c:idx val="0"/>
            <c:invertIfNegative val="0"/>
            <c:bubble3D val="0"/>
            <c:spPr>
              <a:gradFill flip="none" rotWithShape="1">
                <a:gsLst>
                  <a:gs pos="0">
                    <a:srgbClr val="5C8D5C">
                      <a:shade val="30000"/>
                      <a:satMod val="115000"/>
                    </a:srgbClr>
                  </a:gs>
                  <a:gs pos="50000">
                    <a:srgbClr val="5C8D5C">
                      <a:shade val="67500"/>
                      <a:satMod val="115000"/>
                    </a:srgbClr>
                  </a:gs>
                  <a:gs pos="100000">
                    <a:srgbClr val="5C8D5C">
                      <a:shade val="100000"/>
                      <a:satMod val="115000"/>
                    </a:srgbClr>
                  </a:gs>
                </a:gsLst>
                <a:lin ang="2700000" scaled="1"/>
                <a:tileRect/>
              </a:gradFill>
              <a:ln>
                <a:solidFill>
                  <a:schemeClr val="accent1">
                    <a:alpha val="92000"/>
                  </a:schemeClr>
                </a:solidFill>
              </a:ln>
              <a:effectLst/>
            </c:spPr>
            <c:extLst>
              <c:ext xmlns:c16="http://schemas.microsoft.com/office/drawing/2014/chart" uri="{C3380CC4-5D6E-409C-BE32-E72D297353CC}">
                <c16:uniqueId val="{00000001-D6AB-49D7-B5E5-37F6011FF59F}"/>
              </c:ext>
            </c:extLst>
          </c:dPt>
          <c:dPt>
            <c:idx val="1"/>
            <c:invertIfNegative val="0"/>
            <c:bubble3D val="0"/>
            <c:extLst>
              <c:ext xmlns:c16="http://schemas.microsoft.com/office/drawing/2014/chart" uri="{C3380CC4-5D6E-409C-BE32-E72D297353CC}">
                <c16:uniqueId val="{00000003-1018-40C1-B964-14E6B2CDAB62}"/>
              </c:ext>
            </c:extLst>
          </c:dPt>
          <c:dPt>
            <c:idx val="2"/>
            <c:invertIfNegative val="0"/>
            <c:bubble3D val="0"/>
            <c:extLst>
              <c:ext xmlns:c16="http://schemas.microsoft.com/office/drawing/2014/chart" uri="{C3380CC4-5D6E-409C-BE32-E72D297353CC}">
                <c16:uniqueId val="{00000005-1018-40C1-B964-14E6B2CDAB62}"/>
              </c:ext>
            </c:extLst>
          </c:dPt>
          <c:dPt>
            <c:idx val="3"/>
            <c:invertIfNegative val="0"/>
            <c:bubble3D val="0"/>
            <c:extLst>
              <c:ext xmlns:c16="http://schemas.microsoft.com/office/drawing/2014/chart" uri="{C3380CC4-5D6E-409C-BE32-E72D297353CC}">
                <c16:uniqueId val="{00000007-1018-40C1-B964-14E6B2CDAB62}"/>
              </c:ext>
            </c:extLst>
          </c:dPt>
          <c:dPt>
            <c:idx val="5"/>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3-D6AB-49D7-B5E5-37F6011FF59F}"/>
              </c:ext>
            </c:extLst>
          </c:dPt>
          <c:dPt>
            <c:idx val="6"/>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5-D6AB-49D7-B5E5-37F6011FF59F}"/>
              </c:ext>
            </c:extLst>
          </c:dPt>
          <c:dPt>
            <c:idx val="7"/>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7-D6AB-49D7-B5E5-37F6011FF59F}"/>
              </c:ext>
            </c:extLst>
          </c:dPt>
          <c:dPt>
            <c:idx val="8"/>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9-D6AB-49D7-B5E5-37F6011FF59F}"/>
              </c:ext>
            </c:extLst>
          </c:dPt>
          <c:dPt>
            <c:idx val="9"/>
            <c:invertIfNegative val="0"/>
            <c:bubble3D val="0"/>
            <c:spPr>
              <a:gradFill flip="none" rotWithShape="1">
                <a:gsLst>
                  <a:gs pos="0">
                    <a:srgbClr val="EC8B3A">
                      <a:shade val="30000"/>
                      <a:satMod val="115000"/>
                    </a:srgbClr>
                  </a:gs>
                  <a:gs pos="50000">
                    <a:srgbClr val="EC8B3A">
                      <a:shade val="67500"/>
                      <a:satMod val="115000"/>
                    </a:srgbClr>
                  </a:gs>
                  <a:gs pos="100000">
                    <a:srgbClr val="EC8B3A">
                      <a:shade val="100000"/>
                      <a:satMod val="115000"/>
                    </a:srgbClr>
                  </a:gs>
                </a:gsLst>
                <a:lin ang="2700000" scaled="1"/>
                <a:tileRect/>
              </a:gradFill>
              <a:ln>
                <a:noFill/>
              </a:ln>
              <a:effectLst/>
            </c:spPr>
            <c:extLst>
              <c:ext xmlns:c16="http://schemas.microsoft.com/office/drawing/2014/chart" uri="{C3380CC4-5D6E-409C-BE32-E72D297353CC}">
                <c16:uniqueId val="{0000000B-D6AB-49D7-B5E5-37F6011FF59F}"/>
              </c:ext>
            </c:extLst>
          </c:dPt>
          <c:dLbls>
            <c:numFmt formatCode="#,##0" sourceLinked="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'Sales by Category &amp; Sub-Categor'!$A$4:$A$16</c:f>
              <c:multiLvlStrCache>
                <c:ptCount val="10"/>
                <c:lvl>
                  <c:pt idx="0">
                    <c:v>Chain Sprocket</c:v>
                  </c:pt>
                  <c:pt idx="1">
                    <c:v>Disc Brake</c:v>
                  </c:pt>
                  <c:pt idx="2">
                    <c:v>Handle Grips</c:v>
                  </c:pt>
                  <c:pt idx="3">
                    <c:v>LED Indicators</c:v>
                  </c:pt>
                  <c:pt idx="4">
                    <c:v>Racing Exhaust</c:v>
                  </c:pt>
                  <c:pt idx="5">
                    <c:v>Alloy Wheels</c:v>
                  </c:pt>
                  <c:pt idx="6">
                    <c:v>Brake Kit</c:v>
                  </c:pt>
                  <c:pt idx="7">
                    <c:v>LED Headlights</c:v>
                  </c:pt>
                  <c:pt idx="8">
                    <c:v>Performance Exhaust</c:v>
                  </c:pt>
                  <c:pt idx="9">
                    <c:v>Spoiler</c:v>
                  </c:pt>
                </c:lvl>
                <c:lvl>
                  <c:pt idx="0">
                    <c:v>Bike</c:v>
                  </c:pt>
                  <c:pt idx="5">
                    <c:v>Car</c:v>
                  </c:pt>
                </c:lvl>
              </c:multiLvlStrCache>
            </c:multiLvlStrRef>
          </c:cat>
          <c:val>
            <c:numRef>
              <c:f>'Sales by Category &amp; Sub-Categor'!$B$4:$B$16</c:f>
              <c:numCache>
                <c:formatCode>General</c:formatCode>
                <c:ptCount val="10"/>
                <c:pt idx="0">
                  <c:v>465952.29</c:v>
                </c:pt>
                <c:pt idx="1">
                  <c:v>527310.43999999994</c:v>
                </c:pt>
                <c:pt idx="2">
                  <c:v>611727.03</c:v>
                </c:pt>
                <c:pt idx="3">
                  <c:v>535950.77</c:v>
                </c:pt>
                <c:pt idx="4">
                  <c:v>497317.47</c:v>
                </c:pt>
                <c:pt idx="5">
                  <c:v>433808.16</c:v>
                </c:pt>
                <c:pt idx="6">
                  <c:v>621178.92000000004</c:v>
                </c:pt>
                <c:pt idx="7">
                  <c:v>503520.17</c:v>
                </c:pt>
                <c:pt idx="8">
                  <c:v>550525.5</c:v>
                </c:pt>
                <c:pt idx="9">
                  <c:v>467477.17</c:v>
                </c:pt>
              </c:numCache>
            </c:numRef>
          </c:val>
          <c:extLst>
            <c:ext xmlns:c16="http://schemas.microsoft.com/office/drawing/2014/chart" uri="{C3380CC4-5D6E-409C-BE32-E72D297353CC}">
              <c16:uniqueId val="{0000000C-D6AB-49D7-B5E5-37F6011FF59F}"/>
            </c:ext>
          </c:extLst>
        </c:ser>
        <c:dLbls>
          <c:dLblPos val="outEnd"/>
          <c:showLegendKey val="0"/>
          <c:showVal val="1"/>
          <c:showCatName val="0"/>
          <c:showSerName val="0"/>
          <c:showPercent val="0"/>
          <c:showBubbleSize val="0"/>
        </c:dLbls>
        <c:gapWidth val="182"/>
        <c:axId val="319771568"/>
        <c:axId val="1066778720"/>
      </c:barChart>
      <c:catAx>
        <c:axId val="31977156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lang="en-US" sz="1000" b="0" i="0" u="none" strike="noStrike" kern="1200" baseline="0">
                <a:solidFill>
                  <a:schemeClr val="tx1"/>
                </a:solidFill>
                <a:latin typeface="+mn-lt"/>
                <a:ea typeface="+mn-ea"/>
                <a:cs typeface="+mn-cs"/>
              </a:defRPr>
            </a:pPr>
            <a:endParaRPr lang="en-US"/>
          </a:p>
        </c:txPr>
        <c:crossAx val="1066778720"/>
        <c:crosses val="autoZero"/>
        <c:auto val="1"/>
        <c:lblAlgn val="ctr"/>
        <c:lblOffset val="100"/>
        <c:noMultiLvlLbl val="0"/>
      </c:catAx>
      <c:valAx>
        <c:axId val="1066778720"/>
        <c:scaling>
          <c:orientation val="minMax"/>
        </c:scaling>
        <c:delete val="1"/>
        <c:axPos val="l"/>
        <c:numFmt formatCode="General" sourceLinked="1"/>
        <c:majorTickMark val="out"/>
        <c:minorTickMark val="none"/>
        <c:tickLblPos val="nextTo"/>
        <c:crossAx val="3197715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ysClr val="windowText" lastClr="000000"/>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Income!PivotTable4</c:name>
    <c:fmtId val="12"/>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Total Sales By Income</a:t>
            </a:r>
          </a:p>
        </c:rich>
      </c:tx>
      <c:layout>
        <c:manualLayout>
          <c:xMode val="edge"/>
          <c:yMode val="edge"/>
          <c:x val="0.21439279923804538"/>
          <c:y val="0.11519002483938838"/>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s>
    <c:plotArea>
      <c:layout>
        <c:manualLayout>
          <c:layoutTarget val="inner"/>
          <c:xMode val="edge"/>
          <c:yMode val="edge"/>
          <c:x val="0.10636064882471406"/>
          <c:y val="0.34957850442957361"/>
          <c:w val="0.47157574832231841"/>
          <c:h val="0.45640441057468351"/>
        </c:manualLayout>
      </c:layout>
      <c:doughnutChart>
        <c:varyColors val="1"/>
        <c:ser>
          <c:idx val="0"/>
          <c:order val="0"/>
          <c:tx>
            <c:strRef>
              <c:f>'Total Sales by Income'!$B$3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5A4-494C-A302-892337239B9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5A4-494C-A302-892337239B9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5A4-494C-A302-892337239B9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A4-494C-A302-892337239B9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A4-494C-A302-892337239B9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'Total Sales by Income'!$A$4:$A$9</c:f>
              <c:strCache>
                <c:ptCount val="5"/>
                <c:pt idx="0">
                  <c:v>High Income</c:v>
                </c:pt>
                <c:pt idx="1">
                  <c:v>Low Income</c:v>
                </c:pt>
                <c:pt idx="2">
                  <c:v>Lower Middle</c:v>
                </c:pt>
                <c:pt idx="3">
                  <c:v>Middle Income</c:v>
                </c:pt>
                <c:pt idx="4">
                  <c:v>Upper Middle</c:v>
                </c:pt>
              </c:strCache>
            </c:strRef>
          </c:cat>
          <c:val>
            <c:numRef>
              <c:f>'Total Sales by Income'!$B$4:$B$9</c:f>
              <c:numCache>
                <c:formatCode>General</c:formatCode>
                <c:ptCount val="5"/>
                <c:pt idx="0">
                  <c:v>726451.64</c:v>
                </c:pt>
                <c:pt idx="1">
                  <c:v>786059.44</c:v>
                </c:pt>
                <c:pt idx="2">
                  <c:v>1488308.65</c:v>
                </c:pt>
                <c:pt idx="3">
                  <c:v>1086613.05</c:v>
                </c:pt>
                <c:pt idx="4">
                  <c:v>1127335.1399999999</c:v>
                </c:pt>
              </c:numCache>
            </c:numRef>
          </c:val>
          <c:extLst>
            <c:ext xmlns:c16="http://schemas.microsoft.com/office/drawing/2014/chart" uri="{C3380CC4-5D6E-409C-BE32-E72D297353CC}">
              <c16:uniqueId val="{0000000A-95A4-494C-A302-892337239B91}"/>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[Sales_Performance_Dashboard.xlsm]Total Sales by Gender!PivotTable1</c:name>
    <c:fmtId val="7"/>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r>
              <a:rPr lang="en-US" b="1">
                <a:solidFill>
                  <a:sysClr val="windowText" lastClr="000000"/>
                </a:solidFill>
              </a:rPr>
              <a:t>Total</a:t>
            </a:r>
            <a:r>
              <a:rPr lang="en-US" b="1" baseline="0">
                <a:solidFill>
                  <a:sysClr val="windowText" lastClr="000000"/>
                </a:solidFill>
              </a:rPr>
              <a:t> Sales by Gender</a:t>
            </a:r>
            <a:endParaRPr lang="en-US" b="1">
              <a:solidFill>
                <a:sysClr val="windowText" lastClr="000000"/>
              </a:solidFill>
            </a:endParaRPr>
          </a:p>
        </c:rich>
      </c:tx>
      <c:layout>
        <c:manualLayout>
          <c:xMode val="edge"/>
          <c:yMode val="edge"/>
          <c:x val="0.3104096675415573"/>
          <c:y val="0.1100904053659959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manualLayout>
          <c:layoutTarget val="inner"/>
          <c:xMode val="edge"/>
          <c:yMode val="edge"/>
          <c:x val="0.13517880577427818"/>
          <c:y val="0.30325313502478857"/>
          <c:w val="0.52860072178477691"/>
          <c:h val="0.58733413531641876"/>
        </c:manualLayout>
      </c:layout>
      <c:doughnutChart>
        <c:varyColors val="1"/>
        <c:ser>
          <c:idx val="0"/>
          <c:order val="0"/>
          <c:tx>
            <c:strRef>
              <c:f>'Total Sales by Gender'!$B$3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5D-4107-A509-51A78CDA072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05D-4107-A509-51A78CDA072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extLst>
          </c:dLbls>
          <c:cat>
            <c:strRef>
              <c:f>'Total Sales by Gender'!$A$4:$A$6</c:f>
              <c:strCache>
                <c:ptCount val="2"/>
                <c:pt idx="0">
                  <c:v>F</c:v>
                </c:pt>
                <c:pt idx="1">
                  <c:v>M</c:v>
                </c:pt>
              </c:strCache>
            </c:strRef>
          </c:cat>
          <c:val>
            <c:numRef>
              <c:f>'Total Sales by Gender'!$B$4:$B$6</c:f>
              <c:numCache>
                <c:formatCode>General</c:formatCode>
                <c:ptCount val="2"/>
                <c:pt idx="0">
                  <c:v>2490629.13</c:v>
                </c:pt>
                <c:pt idx="1">
                  <c:v>2724138.79</c:v>
                </c:pt>
              </c:numCache>
            </c:numRef>
          </c:val>
          <c:extLst>
            <c:ext xmlns:c16="http://schemas.microsoft.com/office/drawing/2014/chart" uri="{C3380CC4-5D6E-409C-BE32-E72D297353CC}">
              <c16:uniqueId val="{00000004-D05D-4107-A509-51A78CDA0728}"/>
            </c:ext>
          </c:extLst>
        </c:ser>
        <c:dLbls>
          <c:showLegendKey val="0"/>
          <c:showVal val="0"/>
          <c:showCatName val="0"/>
          <c:showSerName val="0"/>
          <c:showPercent val="0"/>
          <c:showBubbleSize val="0"/>
          <c:showLeaderLines val="0"/>
        </c:dLbls>
        <c:firstSliceAng val="0"/>
        <c:holeSize val="6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lumMod val="95000"/>
      </a:schemeClr>
    </a:solidFill>
    <a:ln w="9525"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4</xdr:col>
      <xdr:colOff>205740</xdr:colOff>
      <xdr:row>5</xdr:row>
      <xdr:rowOff>41910</xdr:rowOff>
    </xdr:from>
    <xdr:to>
      <xdr:col>11</xdr:col>
      <xdr:colOff>510540</xdr:colOff>
      <xdr:row>20</xdr:row>
      <xdr:rowOff>41910</xdr:rowOff>
    </xdr:to>
    <xdr:graphicFrame macro="">
      <xdr:nvGraphicFramePr>
        <xdr:cNvPr id="2" name="Chart 1">
          <a:extLst>
            <a:ext uri="{FF2B5EF4-FFF2-40B4-BE49-F238E27FC236}">
              <a16:creationId xmlns:a16="http://schemas.microsoft.com/office/drawing/2014/main" id="{E10A88A0-6EAC-8C7B-397A-C9E0957121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419100</xdr:colOff>
      <xdr:row>13</xdr:row>
      <xdr:rowOff>114300</xdr:rowOff>
    </xdr:from>
    <xdr:to>
      <xdr:col>7</xdr:col>
      <xdr:colOff>533400</xdr:colOff>
      <xdr:row>15</xdr:row>
      <xdr:rowOff>106680</xdr:rowOff>
    </xdr:to>
    <xdr:sp macro="" textlink="">
      <xdr:nvSpPr>
        <xdr:cNvPr id="3" name="TextBox 2">
          <a:extLst>
            <a:ext uri="{FF2B5EF4-FFF2-40B4-BE49-F238E27FC236}">
              <a16:creationId xmlns:a16="http://schemas.microsoft.com/office/drawing/2014/main" id="{4BB5CDFC-581D-B4C6-C5C8-AE1C677C0439}"/>
            </a:ext>
          </a:extLst>
        </xdr:cNvPr>
        <xdr:cNvSpPr txBox="1"/>
      </xdr:nvSpPr>
      <xdr:spPr>
        <a:xfrm>
          <a:off x="4564380" y="2491740"/>
          <a:ext cx="723900" cy="35814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t>2023</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251460</xdr:colOff>
      <xdr:row>5</xdr:row>
      <xdr:rowOff>41910</xdr:rowOff>
    </xdr:from>
    <xdr:to>
      <xdr:col>11</xdr:col>
      <xdr:colOff>556260</xdr:colOff>
      <xdr:row>20</xdr:row>
      <xdr:rowOff>41910</xdr:rowOff>
    </xdr:to>
    <xdr:graphicFrame macro="">
      <xdr:nvGraphicFramePr>
        <xdr:cNvPr id="2" name="Chart 1">
          <a:extLst>
            <a:ext uri="{FF2B5EF4-FFF2-40B4-BE49-F238E27FC236}">
              <a16:creationId xmlns:a16="http://schemas.microsoft.com/office/drawing/2014/main" id="{AE0A8526-8EA7-5098-1F70-ED24A2F3EF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541020</xdr:colOff>
      <xdr:row>13</xdr:row>
      <xdr:rowOff>22860</xdr:rowOff>
    </xdr:from>
    <xdr:to>
      <xdr:col>8</xdr:col>
      <xdr:colOff>220980</xdr:colOff>
      <xdr:row>15</xdr:row>
      <xdr:rowOff>114300</xdr:rowOff>
    </xdr:to>
    <xdr:sp macro="" textlink="">
      <xdr:nvSpPr>
        <xdr:cNvPr id="3" name="TextBox 2">
          <a:extLst>
            <a:ext uri="{FF2B5EF4-FFF2-40B4-BE49-F238E27FC236}">
              <a16:creationId xmlns:a16="http://schemas.microsoft.com/office/drawing/2014/main" id="{1E3A6F3A-5AE2-A9BE-5323-66E37E875408}"/>
            </a:ext>
          </a:extLst>
        </xdr:cNvPr>
        <xdr:cNvSpPr txBox="1"/>
      </xdr:nvSpPr>
      <xdr:spPr>
        <a:xfrm>
          <a:off x="4640580" y="2400300"/>
          <a:ext cx="899160" cy="4572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a:t>Gender</a:t>
          </a:r>
        </a:p>
      </xdr:txBody>
    </xdr:sp>
    <xdr:clientData/>
  </xdr:twoCellAnchor>
  <xdr:twoCellAnchor editAs="oneCell">
    <xdr:from>
      <xdr:col>12</xdr:col>
      <xdr:colOff>91440</xdr:colOff>
      <xdr:row>5</xdr:row>
      <xdr:rowOff>76200</xdr:rowOff>
    </xdr:from>
    <xdr:to>
      <xdr:col>15</xdr:col>
      <xdr:colOff>91440</xdr:colOff>
      <xdr:row>13</xdr:row>
      <xdr:rowOff>38099</xdr:rowOff>
    </xdr:to>
    <mc:AlternateContent xmlns:mc="http://schemas.openxmlformats.org/markup-compatibility/2006" xmlns:a14="http://schemas.microsoft.com/office/drawing/2010/main">
      <mc:Choice Requires="a14">
        <xdr:graphicFrame macro="">
          <xdr:nvGraphicFramePr>
            <xdr:cNvPr id="4" name="Gender">
              <a:extLst>
                <a:ext uri="{FF2B5EF4-FFF2-40B4-BE49-F238E27FC236}">
                  <a16:creationId xmlns:a16="http://schemas.microsoft.com/office/drawing/2014/main" id="{90167D87-5DF3-34CC-4783-26B62675D94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7848600" y="990601"/>
              <a:ext cx="1828800" cy="8382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236220</xdr:colOff>
      <xdr:row>4</xdr:row>
      <xdr:rowOff>41910</xdr:rowOff>
    </xdr:from>
    <xdr:to>
      <xdr:col>9</xdr:col>
      <xdr:colOff>541020</xdr:colOff>
      <xdr:row>19</xdr:row>
      <xdr:rowOff>41910</xdr:rowOff>
    </xdr:to>
    <xdr:graphicFrame macro="">
      <xdr:nvGraphicFramePr>
        <xdr:cNvPr id="2" name="Chart 1">
          <a:extLst>
            <a:ext uri="{FF2B5EF4-FFF2-40B4-BE49-F238E27FC236}">
              <a16:creationId xmlns:a16="http://schemas.microsoft.com/office/drawing/2014/main" id="{10CAEF52-73CE-AFE9-E587-ACD407FCC84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236220</xdr:colOff>
      <xdr:row>4</xdr:row>
      <xdr:rowOff>60961</xdr:rowOff>
    </xdr:from>
    <xdr:to>
      <xdr:col>14</xdr:col>
      <xdr:colOff>236220</xdr:colOff>
      <xdr:row>10</xdr:row>
      <xdr:rowOff>152401</xdr:rowOff>
    </xdr:to>
    <mc:AlternateContent xmlns:mc="http://schemas.openxmlformats.org/markup-compatibility/2006" xmlns:a14="http://schemas.microsoft.com/office/drawing/2010/main">
      <mc:Choice Requires="a14">
        <xdr:graphicFrame macro="">
          <xdr:nvGraphicFramePr>
            <xdr:cNvPr id="3" name="Region">
              <a:extLst>
                <a:ext uri="{FF2B5EF4-FFF2-40B4-BE49-F238E27FC236}">
                  <a16:creationId xmlns:a16="http://schemas.microsoft.com/office/drawing/2014/main" id="{B4C2BF76-751A-9993-986A-10DEC72D8C19}"/>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7406640" y="792481"/>
              <a:ext cx="1828800" cy="11277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2</xdr:col>
      <xdr:colOff>220980</xdr:colOff>
      <xdr:row>2</xdr:row>
      <xdr:rowOff>7620</xdr:rowOff>
    </xdr:from>
    <xdr:to>
      <xdr:col>11</xdr:col>
      <xdr:colOff>472440</xdr:colOff>
      <xdr:row>19</xdr:row>
      <xdr:rowOff>72390</xdr:rowOff>
    </xdr:to>
    <xdr:graphicFrame macro="">
      <xdr:nvGraphicFramePr>
        <xdr:cNvPr id="2" name="Chart 1">
          <a:extLst>
            <a:ext uri="{FF2B5EF4-FFF2-40B4-BE49-F238E27FC236}">
              <a16:creationId xmlns:a16="http://schemas.microsoft.com/office/drawing/2014/main" id="{D3419C75-4CB4-5CBC-64E0-74C158B1824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198120</xdr:colOff>
      <xdr:row>1</xdr:row>
      <xdr:rowOff>99060</xdr:rowOff>
    </xdr:from>
    <xdr:to>
      <xdr:col>19</xdr:col>
      <xdr:colOff>198120</xdr:colOff>
      <xdr:row>15</xdr:row>
      <xdr:rowOff>5715</xdr:rowOff>
    </xdr:to>
    <mc:AlternateContent xmlns:mc="http://schemas.openxmlformats.org/markup-compatibility/2006" xmlns:a14="http://schemas.microsoft.com/office/drawing/2010/main">
      <mc:Choice Requires="a14">
        <xdr:graphicFrame macro="">
          <xdr:nvGraphicFramePr>
            <xdr:cNvPr id="3" name="Product Category">
              <a:extLst>
                <a:ext uri="{FF2B5EF4-FFF2-40B4-BE49-F238E27FC236}">
                  <a16:creationId xmlns:a16="http://schemas.microsoft.com/office/drawing/2014/main" id="{3E938109-EF20-4866-287F-71536AA34CAB}"/>
                </a:ext>
              </a:extLst>
            </xdr:cNvPr>
            <xdr:cNvGraphicFramePr/>
          </xdr:nvGraphicFramePr>
          <xdr:xfrm>
            <a:off x="0" y="0"/>
            <a:ext cx="0" cy="0"/>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11079480" y="2819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91440</xdr:colOff>
      <xdr:row>1</xdr:row>
      <xdr:rowOff>106680</xdr:rowOff>
    </xdr:from>
    <xdr:to>
      <xdr:col>16</xdr:col>
      <xdr:colOff>91440</xdr:colOff>
      <xdr:row>15</xdr:row>
      <xdr:rowOff>13335</xdr:rowOff>
    </xdr:to>
    <mc:AlternateContent xmlns:mc="http://schemas.openxmlformats.org/markup-compatibility/2006" xmlns:a14="http://schemas.microsoft.com/office/drawing/2010/main">
      <mc:Choice Requires="a14">
        <xdr:graphicFrame macro="">
          <xdr:nvGraphicFramePr>
            <xdr:cNvPr id="4" name="Product Sub-Category">
              <a:extLst>
                <a:ext uri="{FF2B5EF4-FFF2-40B4-BE49-F238E27FC236}">
                  <a16:creationId xmlns:a16="http://schemas.microsoft.com/office/drawing/2014/main" id="{AFD9F07E-026E-80FC-DAF0-FF04B2998758}"/>
                </a:ext>
              </a:extLst>
            </xdr:cNvPr>
            <xdr:cNvGraphicFramePr/>
          </xdr:nvGraphicFramePr>
          <xdr:xfrm>
            <a:off x="0" y="0"/>
            <a:ext cx="0" cy="0"/>
          </xdr:xfrm>
          <a:graphic>
            <a:graphicData uri="http://schemas.microsoft.com/office/drawing/2010/slicer">
              <sle:slicer xmlns:sle="http://schemas.microsoft.com/office/drawing/2010/slicer" name="Product Sub-Category"/>
            </a:graphicData>
          </a:graphic>
        </xdr:graphicFrame>
      </mc:Choice>
      <mc:Fallback xmlns="">
        <xdr:sp macro="" textlink="">
          <xdr:nvSpPr>
            <xdr:cNvPr id="0" name=""/>
            <xdr:cNvSpPr>
              <a:spLocks noTextEdit="1"/>
            </xdr:cNvSpPr>
          </xdr:nvSpPr>
          <xdr:spPr>
            <a:xfrm>
              <a:off x="9144000" y="2895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144780</xdr:colOff>
      <xdr:row>2</xdr:row>
      <xdr:rowOff>41910</xdr:rowOff>
    </xdr:from>
    <xdr:to>
      <xdr:col>13</xdr:col>
      <xdr:colOff>45720</xdr:colOff>
      <xdr:row>17</xdr:row>
      <xdr:rowOff>41910</xdr:rowOff>
    </xdr:to>
    <xdr:graphicFrame macro="">
      <xdr:nvGraphicFramePr>
        <xdr:cNvPr id="2" name="Chart 1">
          <a:extLst>
            <a:ext uri="{FF2B5EF4-FFF2-40B4-BE49-F238E27FC236}">
              <a16:creationId xmlns:a16="http://schemas.microsoft.com/office/drawing/2014/main" id="{179DA200-3EDA-BFF8-0454-F6DF94942E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45720</xdr:colOff>
      <xdr:row>1</xdr:row>
      <xdr:rowOff>137160</xdr:rowOff>
    </xdr:from>
    <xdr:to>
      <xdr:col>17</xdr:col>
      <xdr:colOff>45720</xdr:colOff>
      <xdr:row>15</xdr:row>
      <xdr:rowOff>43815</xdr:rowOff>
    </xdr:to>
    <mc:AlternateContent xmlns:mc="http://schemas.openxmlformats.org/markup-compatibility/2006" xmlns:a14="http://schemas.microsoft.com/office/drawing/2010/main">
      <mc:Choice Requires="a14">
        <xdr:graphicFrame macro="">
          <xdr:nvGraphicFramePr>
            <xdr:cNvPr id="3" name="Order_Date (Month)">
              <a:extLst>
                <a:ext uri="{FF2B5EF4-FFF2-40B4-BE49-F238E27FC236}">
                  <a16:creationId xmlns:a16="http://schemas.microsoft.com/office/drawing/2014/main" id="{75A1A5B8-C025-C391-8B95-B9B74F093E84}"/>
                </a:ext>
              </a:extLst>
            </xdr:cNvPr>
            <xdr:cNvGraphicFramePr/>
          </xdr:nvGraphicFramePr>
          <xdr:xfrm>
            <a:off x="0" y="0"/>
            <a:ext cx="0" cy="0"/>
          </xdr:xfrm>
          <a:graphic>
            <a:graphicData uri="http://schemas.microsoft.com/office/drawing/2010/slicer">
              <sle:slicer xmlns:sle="http://schemas.microsoft.com/office/drawing/2010/slicer" name="Order_Date (Month)"/>
            </a:graphicData>
          </a:graphic>
        </xdr:graphicFrame>
      </mc:Choice>
      <mc:Fallback xmlns="">
        <xdr:sp macro="" textlink="">
          <xdr:nvSpPr>
            <xdr:cNvPr id="0" name=""/>
            <xdr:cNvSpPr>
              <a:spLocks noTextEdit="1"/>
            </xdr:cNvSpPr>
          </xdr:nvSpPr>
          <xdr:spPr>
            <a:xfrm>
              <a:off x="9022080" y="3200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33866</xdr:colOff>
      <xdr:row>0</xdr:row>
      <xdr:rowOff>56925</xdr:rowOff>
    </xdr:from>
    <xdr:to>
      <xdr:col>8</xdr:col>
      <xdr:colOff>205102</xdr:colOff>
      <xdr:row>3</xdr:row>
      <xdr:rowOff>143933</xdr:rowOff>
    </xdr:to>
    <xdr:sp macro="" textlink="">
      <xdr:nvSpPr>
        <xdr:cNvPr id="2" name="Rectangle: Rounded Corners 1">
          <a:extLst>
            <a:ext uri="{FF2B5EF4-FFF2-40B4-BE49-F238E27FC236}">
              <a16:creationId xmlns:a16="http://schemas.microsoft.com/office/drawing/2014/main" id="{0A78F434-A476-74ED-C3E2-F56DB5E9A778}"/>
            </a:ext>
          </a:extLst>
        </xdr:cNvPr>
        <xdr:cNvSpPr/>
      </xdr:nvSpPr>
      <xdr:spPr>
        <a:xfrm>
          <a:off x="33866" y="56925"/>
          <a:ext cx="5039569" cy="645808"/>
        </a:xfrm>
        <a:prstGeom prst="roundRect">
          <a:avLst/>
        </a:prstGeom>
        <a:solidFill>
          <a:schemeClr val="bg1">
            <a:lumMod val="95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editAs="oneCell">
    <xdr:from>
      <xdr:col>0</xdr:col>
      <xdr:colOff>84667</xdr:colOff>
      <xdr:row>0</xdr:row>
      <xdr:rowOff>51751</xdr:rowOff>
    </xdr:from>
    <xdr:to>
      <xdr:col>8</xdr:col>
      <xdr:colOff>264465</xdr:colOff>
      <xdr:row>4</xdr:row>
      <xdr:rowOff>30510</xdr:rowOff>
    </xdr:to>
    <xdr:pic>
      <xdr:nvPicPr>
        <xdr:cNvPr id="4" name="Picture 3">
          <a:extLst>
            <a:ext uri="{FF2B5EF4-FFF2-40B4-BE49-F238E27FC236}">
              <a16:creationId xmlns:a16="http://schemas.microsoft.com/office/drawing/2014/main" id="{9461EA88-721D-2C0E-36B9-460611683F72}"/>
            </a:ext>
          </a:extLst>
        </xdr:cNvPr>
        <xdr:cNvPicPr>
          <a:picLocks noChangeAspect="1"/>
        </xdr:cNvPicPr>
      </xdr:nvPicPr>
      <xdr:blipFill>
        <a:blip xmlns:r="http://schemas.openxmlformats.org/officeDocument/2006/relationships" r:embed="rId1"/>
        <a:stretch>
          <a:fillRect/>
        </a:stretch>
      </xdr:blipFill>
      <xdr:spPr>
        <a:xfrm>
          <a:off x="84667" y="51751"/>
          <a:ext cx="5048131" cy="723826"/>
        </a:xfrm>
        <a:prstGeom prst="rect">
          <a:avLst/>
        </a:prstGeom>
      </xdr:spPr>
    </xdr:pic>
    <xdr:clientData/>
  </xdr:twoCellAnchor>
  <xdr:twoCellAnchor>
    <xdr:from>
      <xdr:col>8</xdr:col>
      <xdr:colOff>231169</xdr:colOff>
      <xdr:row>0</xdr:row>
      <xdr:rowOff>51457</xdr:rowOff>
    </xdr:from>
    <xdr:to>
      <xdr:col>12</xdr:col>
      <xdr:colOff>25686</xdr:colOff>
      <xdr:row>3</xdr:row>
      <xdr:rowOff>147978</xdr:rowOff>
    </xdr:to>
    <xdr:sp macro="" textlink="">
      <xdr:nvSpPr>
        <xdr:cNvPr id="5" name="Rectangle: Rounded Corners 4">
          <a:extLst>
            <a:ext uri="{FF2B5EF4-FFF2-40B4-BE49-F238E27FC236}">
              <a16:creationId xmlns:a16="http://schemas.microsoft.com/office/drawing/2014/main" id="{646847F6-3BFF-CF4D-F6F3-F7F596F4B6B9}"/>
            </a:ext>
          </a:extLst>
        </xdr:cNvPr>
        <xdr:cNvSpPr/>
      </xdr:nvSpPr>
      <xdr:spPr>
        <a:xfrm>
          <a:off x="5099502" y="51457"/>
          <a:ext cx="2232917" cy="655321"/>
        </a:xfrm>
        <a:prstGeom prst="roundRect">
          <a:avLst/>
        </a:prstGeom>
        <a:solidFill>
          <a:srgbClr val="208184"/>
        </a:solidFill>
        <a:effectLst>
          <a:outerShdw blurRad="1905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IN" sz="1600">
              <a:latin typeface="Calibri" panose="020F0502020204030204" pitchFamily="34" charset="0"/>
              <a:ea typeface="Calibri" panose="020F0502020204030204" pitchFamily="34" charset="0"/>
              <a:cs typeface="Calibri" panose="020F0502020204030204" pitchFamily="34" charset="0"/>
            </a:rPr>
            <a:t>  </a:t>
          </a:r>
          <a:r>
            <a:rPr lang="en-IN" sz="1600" b="0">
              <a:latin typeface="Calibri" panose="020F0502020204030204" pitchFamily="34" charset="0"/>
              <a:ea typeface="Calibri" panose="020F0502020204030204" pitchFamily="34" charset="0"/>
              <a:cs typeface="Calibri" panose="020F0502020204030204" pitchFamily="34" charset="0"/>
            </a:rPr>
            <a:t>Total Sales</a:t>
          </a:r>
        </a:p>
        <a:p>
          <a:pPr algn="ctr"/>
          <a:endParaRPr lang="en-IN" sz="1100"/>
        </a:p>
        <a:p>
          <a:pPr algn="ctr"/>
          <a:endParaRPr lang="en-IN" sz="1100"/>
        </a:p>
      </xdr:txBody>
    </xdr:sp>
    <xdr:clientData/>
  </xdr:twoCellAnchor>
  <xdr:twoCellAnchor>
    <xdr:from>
      <xdr:col>12</xdr:col>
      <xdr:colOff>79150</xdr:colOff>
      <xdr:row>0</xdr:row>
      <xdr:rowOff>33771</xdr:rowOff>
    </xdr:from>
    <xdr:to>
      <xdr:col>15</xdr:col>
      <xdr:colOff>318879</xdr:colOff>
      <xdr:row>3</xdr:row>
      <xdr:rowOff>122671</xdr:rowOff>
    </xdr:to>
    <xdr:sp macro="" textlink="">
      <xdr:nvSpPr>
        <xdr:cNvPr id="6" name="Rectangle: Rounded Corners 5">
          <a:extLst>
            <a:ext uri="{FF2B5EF4-FFF2-40B4-BE49-F238E27FC236}">
              <a16:creationId xmlns:a16="http://schemas.microsoft.com/office/drawing/2014/main" id="{C91F113A-9AFD-4A5F-8F06-3E19C87BDE24}"/>
            </a:ext>
          </a:extLst>
        </xdr:cNvPr>
        <xdr:cNvSpPr/>
      </xdr:nvSpPr>
      <xdr:spPr>
        <a:xfrm>
          <a:off x="7385883" y="33771"/>
          <a:ext cx="2068529" cy="647700"/>
        </a:xfrm>
        <a:prstGeom prst="roundRect">
          <a:avLst/>
        </a:prstGeom>
        <a:solidFill>
          <a:srgbClr val="2A5298"/>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378717</xdr:colOff>
      <xdr:row>0</xdr:row>
      <xdr:rowOff>34619</xdr:rowOff>
    </xdr:from>
    <xdr:to>
      <xdr:col>19</xdr:col>
      <xdr:colOff>20405</xdr:colOff>
      <xdr:row>3</xdr:row>
      <xdr:rowOff>118439</xdr:rowOff>
    </xdr:to>
    <xdr:sp macro="" textlink="">
      <xdr:nvSpPr>
        <xdr:cNvPr id="7" name="Rectangle: Rounded Corners 6">
          <a:extLst>
            <a:ext uri="{FF2B5EF4-FFF2-40B4-BE49-F238E27FC236}">
              <a16:creationId xmlns:a16="http://schemas.microsoft.com/office/drawing/2014/main" id="{84D588C6-1A9D-4EB4-9E7E-C05E1951E98E}"/>
            </a:ext>
          </a:extLst>
        </xdr:cNvPr>
        <xdr:cNvSpPr/>
      </xdr:nvSpPr>
      <xdr:spPr>
        <a:xfrm>
          <a:off x="9514250" y="34619"/>
          <a:ext cx="2080088" cy="642620"/>
        </a:xfrm>
        <a:prstGeom prst="roundRect">
          <a:avLst/>
        </a:prstGeom>
        <a:solidFill>
          <a:srgbClr val="EC8B3A"/>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 </a:t>
          </a:r>
        </a:p>
      </xdr:txBody>
    </xdr:sp>
    <xdr:clientData/>
  </xdr:twoCellAnchor>
  <xdr:twoCellAnchor>
    <xdr:from>
      <xdr:col>19</xdr:col>
      <xdr:colOff>68759</xdr:colOff>
      <xdr:row>0</xdr:row>
      <xdr:rowOff>34714</xdr:rowOff>
    </xdr:from>
    <xdr:to>
      <xdr:col>22</xdr:col>
      <xdr:colOff>495480</xdr:colOff>
      <xdr:row>3</xdr:row>
      <xdr:rowOff>118534</xdr:rowOff>
    </xdr:to>
    <xdr:sp macro="" textlink="">
      <xdr:nvSpPr>
        <xdr:cNvPr id="8" name="Rectangle: Rounded Corners 7">
          <a:extLst>
            <a:ext uri="{FF2B5EF4-FFF2-40B4-BE49-F238E27FC236}">
              <a16:creationId xmlns:a16="http://schemas.microsoft.com/office/drawing/2014/main" id="{C69C69D4-EED8-441E-8BB1-9C2304A590CE}"/>
            </a:ext>
          </a:extLst>
        </xdr:cNvPr>
        <xdr:cNvSpPr/>
      </xdr:nvSpPr>
      <xdr:spPr>
        <a:xfrm>
          <a:off x="11642692" y="34714"/>
          <a:ext cx="2255521" cy="642620"/>
        </a:xfrm>
        <a:prstGeom prst="roundRect">
          <a:avLst/>
        </a:prstGeom>
        <a:solidFill>
          <a:srgbClr val="5C8D5C"/>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500579</xdr:colOff>
      <xdr:row>1</xdr:row>
      <xdr:rowOff>141297</xdr:rowOff>
    </xdr:from>
    <xdr:to>
      <xdr:col>11</xdr:col>
      <xdr:colOff>414961</xdr:colOff>
      <xdr:row>3</xdr:row>
      <xdr:rowOff>126057</xdr:rowOff>
    </xdr:to>
    <xdr:sp macro="" textlink="KPI_Backend!L6">
      <xdr:nvSpPr>
        <xdr:cNvPr id="10" name="TextBox 9">
          <a:extLst>
            <a:ext uri="{FF2B5EF4-FFF2-40B4-BE49-F238E27FC236}">
              <a16:creationId xmlns:a16="http://schemas.microsoft.com/office/drawing/2014/main" id="{A572E4FA-4CFC-B945-8EFD-CD33976FD257}"/>
            </a:ext>
          </a:extLst>
        </xdr:cNvPr>
        <xdr:cNvSpPr txBox="1"/>
      </xdr:nvSpPr>
      <xdr:spPr>
        <a:xfrm>
          <a:off x="5368912" y="327564"/>
          <a:ext cx="1743182" cy="357293"/>
        </a:xfrm>
        <a:prstGeom prst="rect">
          <a:avLst/>
        </a:prstGeom>
        <a:solidFill>
          <a:srgbClr val="20818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160BD22-04F1-4AE5-9E19-6D4EFA9FB57F}" type="TxLink">
            <a:rPr lang="en-US" sz="2200" b="1" i="0" u="none" strike="noStrike">
              <a:solidFill>
                <a:schemeClr val="bg1"/>
              </a:solidFill>
              <a:latin typeface="Calibri" panose="020F0502020204030204" pitchFamily="34" charset="0"/>
              <a:ea typeface="Calibri" panose="020F0502020204030204" pitchFamily="34" charset="0"/>
              <a:cs typeface="Calibri" panose="020F0502020204030204" pitchFamily="34" charset="0"/>
            </a:rPr>
            <a:pPr algn="ctr"/>
            <a:t>52,14,768</a:t>
          </a:fld>
          <a:endParaRPr lang="en-IN" sz="22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12</xdr:col>
      <xdr:colOff>189690</xdr:colOff>
      <xdr:row>0</xdr:row>
      <xdr:rowOff>48260</xdr:rowOff>
    </xdr:from>
    <xdr:to>
      <xdr:col>15</xdr:col>
      <xdr:colOff>198252</xdr:colOff>
      <xdr:row>1</xdr:row>
      <xdr:rowOff>150706</xdr:rowOff>
    </xdr:to>
    <xdr:sp macro="" textlink="">
      <xdr:nvSpPr>
        <xdr:cNvPr id="3" name="TextBox 2">
          <a:extLst>
            <a:ext uri="{FF2B5EF4-FFF2-40B4-BE49-F238E27FC236}">
              <a16:creationId xmlns:a16="http://schemas.microsoft.com/office/drawing/2014/main" id="{997EF446-A323-7A21-637F-6C1CFC2E7341}"/>
            </a:ext>
          </a:extLst>
        </xdr:cNvPr>
        <xdr:cNvSpPr txBox="1"/>
      </xdr:nvSpPr>
      <xdr:spPr>
        <a:xfrm>
          <a:off x="7496423" y="48260"/>
          <a:ext cx="1837362" cy="288713"/>
        </a:xfrm>
        <a:prstGeom prst="rect">
          <a:avLst/>
        </a:prstGeom>
        <a:solidFill>
          <a:srgbClr val="2A5298"/>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latin typeface="+mn-lt"/>
            </a:rPr>
            <a:t>  Total Orders</a:t>
          </a:r>
        </a:p>
      </xdr:txBody>
    </xdr:sp>
    <xdr:clientData/>
  </xdr:twoCellAnchor>
  <xdr:twoCellAnchor>
    <xdr:from>
      <xdr:col>12</xdr:col>
      <xdr:colOff>246895</xdr:colOff>
      <xdr:row>1</xdr:row>
      <xdr:rowOff>147785</xdr:rowOff>
    </xdr:from>
    <xdr:to>
      <xdr:col>15</xdr:col>
      <xdr:colOff>126687</xdr:colOff>
      <xdr:row>3</xdr:row>
      <xdr:rowOff>37719</xdr:rowOff>
    </xdr:to>
    <xdr:sp macro="" textlink="KPI_Backend!B10">
      <xdr:nvSpPr>
        <xdr:cNvPr id="11" name="TextBox 10">
          <a:extLst>
            <a:ext uri="{FF2B5EF4-FFF2-40B4-BE49-F238E27FC236}">
              <a16:creationId xmlns:a16="http://schemas.microsoft.com/office/drawing/2014/main" id="{3983869D-78FE-C4B1-C8AB-8B543D7F5459}"/>
            </a:ext>
          </a:extLst>
        </xdr:cNvPr>
        <xdr:cNvSpPr txBox="1"/>
      </xdr:nvSpPr>
      <xdr:spPr>
        <a:xfrm>
          <a:off x="7553628" y="334052"/>
          <a:ext cx="1708592" cy="262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1D40911-9C2D-4F99-8E05-278D878F39D4}" type="TxLink">
            <a:rPr lang="en-US" sz="2000" b="1" i="0" u="none" strike="noStrike">
              <a:solidFill>
                <a:schemeClr val="bg1"/>
              </a:solidFill>
              <a:latin typeface="Calibri"/>
              <a:ea typeface="Calibri"/>
              <a:cs typeface="Calibri"/>
            </a:rPr>
            <a:pPr algn="ctr"/>
            <a:t>1,026</a:t>
          </a:fld>
          <a:endParaRPr lang="en-IN" sz="2000" b="1">
            <a:solidFill>
              <a:schemeClr val="bg1"/>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16</xdr:col>
      <xdr:colOff>18645</xdr:colOff>
      <xdr:row>0</xdr:row>
      <xdr:rowOff>60218</xdr:rowOff>
    </xdr:from>
    <xdr:to>
      <xdr:col>18</xdr:col>
      <xdr:colOff>482695</xdr:colOff>
      <xdr:row>2</xdr:row>
      <xdr:rowOff>96520</xdr:rowOff>
    </xdr:to>
    <xdr:sp macro="" textlink="">
      <xdr:nvSpPr>
        <xdr:cNvPr id="9" name="TextBox 8">
          <a:extLst>
            <a:ext uri="{FF2B5EF4-FFF2-40B4-BE49-F238E27FC236}">
              <a16:creationId xmlns:a16="http://schemas.microsoft.com/office/drawing/2014/main" id="{1E70E40D-540E-C269-F5A5-47EC84987A09}"/>
            </a:ext>
          </a:extLst>
        </xdr:cNvPr>
        <xdr:cNvSpPr txBox="1"/>
      </xdr:nvSpPr>
      <xdr:spPr>
        <a:xfrm>
          <a:off x="9763778" y="60218"/>
          <a:ext cx="1683250" cy="408835"/>
        </a:xfrm>
        <a:prstGeom prst="rect">
          <a:avLst/>
        </a:prstGeom>
        <a:solidFill>
          <a:srgbClr val="EC8B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a:solidFill>
                <a:schemeClr val="bg1"/>
              </a:solidFill>
            </a:rPr>
            <a:t>Average</a:t>
          </a:r>
          <a:r>
            <a:rPr lang="en-IN" sz="1600" b="1" baseline="0">
              <a:solidFill>
                <a:schemeClr val="bg1"/>
              </a:solidFill>
            </a:rPr>
            <a:t> Sales</a:t>
          </a:r>
          <a:endParaRPr lang="en-IN" sz="1600" b="1">
            <a:solidFill>
              <a:schemeClr val="bg1"/>
            </a:solidFill>
          </a:endParaRPr>
        </a:p>
      </xdr:txBody>
    </xdr:sp>
    <xdr:clientData/>
  </xdr:twoCellAnchor>
  <xdr:twoCellAnchor>
    <xdr:from>
      <xdr:col>15</xdr:col>
      <xdr:colOff>585882</xdr:colOff>
      <xdr:row>1</xdr:row>
      <xdr:rowOff>166697</xdr:rowOff>
    </xdr:from>
    <xdr:to>
      <xdr:col>18</xdr:col>
      <xdr:colOff>463962</xdr:colOff>
      <xdr:row>3</xdr:row>
      <xdr:rowOff>79491</xdr:rowOff>
    </xdr:to>
    <xdr:sp macro="" textlink="KPI_Backend!D10">
      <xdr:nvSpPr>
        <xdr:cNvPr id="12" name="TextBox 11">
          <a:extLst>
            <a:ext uri="{FF2B5EF4-FFF2-40B4-BE49-F238E27FC236}">
              <a16:creationId xmlns:a16="http://schemas.microsoft.com/office/drawing/2014/main" id="{B209412B-585D-07A8-CA35-B2D7B26051AD}"/>
            </a:ext>
          </a:extLst>
        </xdr:cNvPr>
        <xdr:cNvSpPr txBox="1"/>
      </xdr:nvSpPr>
      <xdr:spPr>
        <a:xfrm>
          <a:off x="9721415" y="352964"/>
          <a:ext cx="1706880" cy="285327"/>
        </a:xfrm>
        <a:prstGeom prst="rect">
          <a:avLst/>
        </a:prstGeom>
        <a:solidFill>
          <a:srgbClr val="EC8B3A"/>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6844EED-D52A-497C-A6E7-4639A86BB0F0}" type="TxLink">
            <a:rPr lang="en-US" sz="2200" b="1" i="0" u="none" strike="noStrike">
              <a:solidFill>
                <a:schemeClr val="bg1"/>
              </a:solidFill>
              <a:latin typeface="Calibri"/>
              <a:ea typeface="Calibri"/>
              <a:cs typeface="Calibri"/>
            </a:rPr>
            <a:pPr algn="ctr"/>
            <a:t>5,082.62</a:t>
          </a:fld>
          <a:endParaRPr lang="en-IN" sz="2200" b="1">
            <a:solidFill>
              <a:schemeClr val="bg1"/>
            </a:solidFill>
          </a:endParaRPr>
        </a:p>
      </xdr:txBody>
    </xdr:sp>
    <xdr:clientData/>
  </xdr:twoCellAnchor>
  <xdr:twoCellAnchor>
    <xdr:from>
      <xdr:col>19</xdr:col>
      <xdr:colOff>104359</xdr:colOff>
      <xdr:row>0</xdr:row>
      <xdr:rowOff>55034</xdr:rowOff>
    </xdr:from>
    <xdr:to>
      <xdr:col>22</xdr:col>
      <xdr:colOff>455392</xdr:colOff>
      <xdr:row>1</xdr:row>
      <xdr:rowOff>165100</xdr:rowOff>
    </xdr:to>
    <xdr:sp macro="" textlink="">
      <xdr:nvSpPr>
        <xdr:cNvPr id="13" name="TextBox 12">
          <a:extLst>
            <a:ext uri="{FF2B5EF4-FFF2-40B4-BE49-F238E27FC236}">
              <a16:creationId xmlns:a16="http://schemas.microsoft.com/office/drawing/2014/main" id="{45DCA99B-C13D-0D00-C54B-6845D80BC2BC}"/>
            </a:ext>
          </a:extLst>
        </xdr:cNvPr>
        <xdr:cNvSpPr txBox="1"/>
      </xdr:nvSpPr>
      <xdr:spPr>
        <a:xfrm>
          <a:off x="11678292" y="55034"/>
          <a:ext cx="2179833" cy="296333"/>
        </a:xfrm>
        <a:prstGeom prst="rect">
          <a:avLst/>
        </a:prstGeom>
        <a:solidFill>
          <a:srgbClr val="5C8D5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600" b="1">
              <a:solidFill>
                <a:schemeClr val="bg1"/>
              </a:solidFill>
            </a:rPr>
            <a:t>Top Region</a:t>
          </a:r>
        </a:p>
      </xdr:txBody>
    </xdr:sp>
    <xdr:clientData/>
  </xdr:twoCellAnchor>
  <xdr:twoCellAnchor>
    <xdr:from>
      <xdr:col>19</xdr:col>
      <xdr:colOff>165651</xdr:colOff>
      <xdr:row>1</xdr:row>
      <xdr:rowOff>123517</xdr:rowOff>
    </xdr:from>
    <xdr:to>
      <xdr:col>21</xdr:col>
      <xdr:colOff>226612</xdr:colOff>
      <xdr:row>3</xdr:row>
      <xdr:rowOff>43931</xdr:rowOff>
    </xdr:to>
    <xdr:sp macro="" textlink="KPI_Backend!F10">
      <xdr:nvSpPr>
        <xdr:cNvPr id="14" name="TextBox 13">
          <a:extLst>
            <a:ext uri="{FF2B5EF4-FFF2-40B4-BE49-F238E27FC236}">
              <a16:creationId xmlns:a16="http://schemas.microsoft.com/office/drawing/2014/main" id="{236E6BE9-6298-F31A-84A3-E1BA7CBBBC97}"/>
            </a:ext>
          </a:extLst>
        </xdr:cNvPr>
        <xdr:cNvSpPr txBox="1"/>
      </xdr:nvSpPr>
      <xdr:spPr>
        <a:xfrm>
          <a:off x="11739584" y="309784"/>
          <a:ext cx="1280161" cy="292947"/>
        </a:xfrm>
        <a:prstGeom prst="rect">
          <a:avLst/>
        </a:prstGeom>
        <a:solidFill>
          <a:srgbClr val="5C8D5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E0D25E-B414-4024-A21B-5B44BB5AEA29}" type="TxLink">
            <a:rPr lang="en-US" sz="1400" b="1" i="0" u="none" strike="noStrike">
              <a:solidFill>
                <a:schemeClr val="bg1"/>
              </a:solidFill>
              <a:latin typeface="Calibri"/>
              <a:ea typeface="Calibri"/>
              <a:cs typeface="Calibri"/>
            </a:rPr>
            <a:pPr algn="ctr"/>
            <a:t>North America</a:t>
          </a:fld>
          <a:endParaRPr lang="en-IN" sz="1400" b="1">
            <a:solidFill>
              <a:schemeClr val="bg1"/>
            </a:solidFill>
          </a:endParaRPr>
        </a:p>
      </xdr:txBody>
    </xdr:sp>
    <xdr:clientData/>
  </xdr:twoCellAnchor>
  <xdr:twoCellAnchor>
    <xdr:from>
      <xdr:col>21</xdr:col>
      <xdr:colOff>183908</xdr:colOff>
      <xdr:row>1</xdr:row>
      <xdr:rowOff>146283</xdr:rowOff>
    </xdr:from>
    <xdr:to>
      <xdr:col>22</xdr:col>
      <xdr:colOff>426035</xdr:colOff>
      <xdr:row>3</xdr:row>
      <xdr:rowOff>51457</xdr:rowOff>
    </xdr:to>
    <xdr:sp macro="" textlink="KPI_Backend!G10">
      <xdr:nvSpPr>
        <xdr:cNvPr id="15" name="TextBox 14">
          <a:extLst>
            <a:ext uri="{FF2B5EF4-FFF2-40B4-BE49-F238E27FC236}">
              <a16:creationId xmlns:a16="http://schemas.microsoft.com/office/drawing/2014/main" id="{6CC5ECB8-CBDF-3A71-DCA6-6DFF627FC68E}"/>
            </a:ext>
          </a:extLst>
        </xdr:cNvPr>
        <xdr:cNvSpPr txBox="1"/>
      </xdr:nvSpPr>
      <xdr:spPr>
        <a:xfrm>
          <a:off x="12977041" y="332550"/>
          <a:ext cx="851727" cy="277707"/>
        </a:xfrm>
        <a:prstGeom prst="rect">
          <a:avLst/>
        </a:prstGeom>
        <a:solidFill>
          <a:srgbClr val="5C8D5C"/>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066561-6A52-46A9-B014-3EAED90B049E}" type="TxLink">
            <a:rPr lang="en-US" sz="1400" b="1" i="0" u="none" strike="noStrike">
              <a:solidFill>
                <a:schemeClr val="bg1"/>
              </a:solidFill>
              <a:latin typeface="Calibri"/>
              <a:ea typeface="Calibri"/>
              <a:cs typeface="Calibri"/>
            </a:rPr>
            <a:pPr algn="ctr"/>
            <a:t>26,03,861.66</a:t>
          </a:fld>
          <a:endParaRPr lang="en-IN" sz="1400" b="1">
            <a:solidFill>
              <a:schemeClr val="bg1"/>
            </a:solidFill>
          </a:endParaRPr>
        </a:p>
      </xdr:txBody>
    </xdr:sp>
    <xdr:clientData/>
  </xdr:twoCellAnchor>
  <xdr:twoCellAnchor>
    <xdr:from>
      <xdr:col>0</xdr:col>
      <xdr:colOff>16934</xdr:colOff>
      <xdr:row>17</xdr:row>
      <xdr:rowOff>74975</xdr:rowOff>
    </xdr:from>
    <xdr:to>
      <xdr:col>11</xdr:col>
      <xdr:colOff>575734</xdr:colOff>
      <xdr:row>31</xdr:row>
      <xdr:rowOff>25401</xdr:rowOff>
    </xdr:to>
    <xdr:graphicFrame macro="">
      <xdr:nvGraphicFramePr>
        <xdr:cNvPr id="16" name="Chart 15">
          <a:extLst>
            <a:ext uri="{FF2B5EF4-FFF2-40B4-BE49-F238E27FC236}">
              <a16:creationId xmlns:a16="http://schemas.microsoft.com/office/drawing/2014/main" id="{0EDAB709-773E-4A0C-A232-902D6757E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16745</xdr:colOff>
      <xdr:row>4</xdr:row>
      <xdr:rowOff>8752</xdr:rowOff>
    </xdr:from>
    <xdr:to>
      <xdr:col>9</xdr:col>
      <xdr:colOff>524934</xdr:colOff>
      <xdr:row>17</xdr:row>
      <xdr:rowOff>42334</xdr:rowOff>
    </xdr:to>
    <xdr:graphicFrame macro="">
      <xdr:nvGraphicFramePr>
        <xdr:cNvPr id="17" name="Chart 16">
          <a:extLst>
            <a:ext uri="{FF2B5EF4-FFF2-40B4-BE49-F238E27FC236}">
              <a16:creationId xmlns:a16="http://schemas.microsoft.com/office/drawing/2014/main" id="{19317A93-CC47-43D8-A9C6-5CAE90A0AAC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567552</xdr:colOff>
      <xdr:row>4</xdr:row>
      <xdr:rowOff>17408</xdr:rowOff>
    </xdr:from>
    <xdr:to>
      <xdr:col>22</xdr:col>
      <xdr:colOff>406400</xdr:colOff>
      <xdr:row>17</xdr:row>
      <xdr:rowOff>45330</xdr:rowOff>
    </xdr:to>
    <xdr:graphicFrame macro="">
      <xdr:nvGraphicFramePr>
        <xdr:cNvPr id="18" name="Chart 17">
          <a:extLst>
            <a:ext uri="{FF2B5EF4-FFF2-40B4-BE49-F238E27FC236}">
              <a16:creationId xmlns:a16="http://schemas.microsoft.com/office/drawing/2014/main" id="{C3D2D267-1982-47DA-8DD8-809A48E3AB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101600</xdr:colOff>
      <xdr:row>17</xdr:row>
      <xdr:rowOff>71388</xdr:rowOff>
    </xdr:from>
    <xdr:to>
      <xdr:col>22</xdr:col>
      <xdr:colOff>406400</xdr:colOff>
      <xdr:row>31</xdr:row>
      <xdr:rowOff>16933</xdr:rowOff>
    </xdr:to>
    <xdr:graphicFrame macro="">
      <xdr:nvGraphicFramePr>
        <xdr:cNvPr id="19" name="Chart 18">
          <a:extLst>
            <a:ext uri="{FF2B5EF4-FFF2-40B4-BE49-F238E27FC236}">
              <a16:creationId xmlns:a16="http://schemas.microsoft.com/office/drawing/2014/main" id="{3C9B76A9-2881-4DD8-9345-5CACF8299F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11701</xdr:colOff>
      <xdr:row>17</xdr:row>
      <xdr:rowOff>76104</xdr:rowOff>
    </xdr:from>
    <xdr:to>
      <xdr:col>17</xdr:col>
      <xdr:colOff>59267</xdr:colOff>
      <xdr:row>31</xdr:row>
      <xdr:rowOff>25400</xdr:rowOff>
    </xdr:to>
    <xdr:graphicFrame macro="">
      <xdr:nvGraphicFramePr>
        <xdr:cNvPr id="20" name="Chart 19">
          <a:extLst>
            <a:ext uri="{FF2B5EF4-FFF2-40B4-BE49-F238E27FC236}">
              <a16:creationId xmlns:a16="http://schemas.microsoft.com/office/drawing/2014/main" id="{9B682BA1-DA16-48FC-A335-0269C95B1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22</xdr:col>
      <xdr:colOff>458247</xdr:colOff>
      <xdr:row>4</xdr:row>
      <xdr:rowOff>25875</xdr:rowOff>
    </xdr:from>
    <xdr:to>
      <xdr:col>25</xdr:col>
      <xdr:colOff>432560</xdr:colOff>
      <xdr:row>10</xdr:row>
      <xdr:rowOff>102931</xdr:rowOff>
    </xdr:to>
    <mc:AlternateContent xmlns:mc="http://schemas.openxmlformats.org/markup-compatibility/2006" xmlns:a14="http://schemas.microsoft.com/office/drawing/2010/main">
      <mc:Choice Requires="a14">
        <xdr:graphicFrame macro="">
          <xdr:nvGraphicFramePr>
            <xdr:cNvPr id="21" name="Region 2">
              <a:extLst>
                <a:ext uri="{FF2B5EF4-FFF2-40B4-BE49-F238E27FC236}">
                  <a16:creationId xmlns:a16="http://schemas.microsoft.com/office/drawing/2014/main" id="{272E2CC0-D838-44BC-8FE9-C6CA0509416C}"/>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13860980" y="770942"/>
              <a:ext cx="1803113" cy="11946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458342</xdr:colOff>
      <xdr:row>10</xdr:row>
      <xdr:rowOff>135468</xdr:rowOff>
    </xdr:from>
    <xdr:to>
      <xdr:col>25</xdr:col>
      <xdr:colOff>398408</xdr:colOff>
      <xdr:row>15</xdr:row>
      <xdr:rowOff>103314</xdr:rowOff>
    </xdr:to>
    <mc:AlternateContent xmlns:mc="http://schemas.openxmlformats.org/markup-compatibility/2006" xmlns:a14="http://schemas.microsoft.com/office/drawing/2010/main">
      <mc:Choice Requires="a14">
        <xdr:graphicFrame macro="">
          <xdr:nvGraphicFramePr>
            <xdr:cNvPr id="25" name="Product Category 1">
              <a:extLst>
                <a:ext uri="{FF2B5EF4-FFF2-40B4-BE49-F238E27FC236}">
                  <a16:creationId xmlns:a16="http://schemas.microsoft.com/office/drawing/2014/main" id="{A72B4A0D-FEF7-44BA-A049-CDA3787A4F89}"/>
                </a:ext>
              </a:extLst>
            </xdr:cNvPr>
            <xdr:cNvGraphicFramePr/>
          </xdr:nvGraphicFramePr>
          <xdr:xfrm>
            <a:off x="0" y="0"/>
            <a:ext cx="0" cy="0"/>
          </xdr:xfrm>
          <a:graphic>
            <a:graphicData uri="http://schemas.microsoft.com/office/drawing/2010/slicer">
              <sle:slicer xmlns:sle="http://schemas.microsoft.com/office/drawing/2010/slicer" name="Product Category 1"/>
            </a:graphicData>
          </a:graphic>
        </xdr:graphicFrame>
      </mc:Choice>
      <mc:Fallback xmlns="">
        <xdr:sp macro="" textlink="">
          <xdr:nvSpPr>
            <xdr:cNvPr id="0" name=""/>
            <xdr:cNvSpPr>
              <a:spLocks noTextEdit="1"/>
            </xdr:cNvSpPr>
          </xdr:nvSpPr>
          <xdr:spPr>
            <a:xfrm>
              <a:off x="13861075" y="1998135"/>
              <a:ext cx="1768866" cy="8991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467093</xdr:colOff>
      <xdr:row>15</xdr:row>
      <xdr:rowOff>144218</xdr:rowOff>
    </xdr:from>
    <xdr:to>
      <xdr:col>25</xdr:col>
      <xdr:colOff>390037</xdr:colOff>
      <xdr:row>20</xdr:row>
      <xdr:rowOff>118533</xdr:rowOff>
    </xdr:to>
    <mc:AlternateContent xmlns:mc="http://schemas.openxmlformats.org/markup-compatibility/2006" xmlns:a14="http://schemas.microsoft.com/office/drawing/2010/main">
      <mc:Choice Requires="a14">
        <xdr:graphicFrame macro="">
          <xdr:nvGraphicFramePr>
            <xdr:cNvPr id="26" name="Gender 1">
              <a:extLst>
                <a:ext uri="{FF2B5EF4-FFF2-40B4-BE49-F238E27FC236}">
                  <a16:creationId xmlns:a16="http://schemas.microsoft.com/office/drawing/2014/main" id="{4CC785F8-E9B1-40D1-95F1-7AF5B6F56C13}"/>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13869826" y="2938218"/>
              <a:ext cx="1751744" cy="90564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467189</xdr:colOff>
      <xdr:row>20</xdr:row>
      <xdr:rowOff>152400</xdr:rowOff>
    </xdr:from>
    <xdr:to>
      <xdr:col>25</xdr:col>
      <xdr:colOff>407256</xdr:colOff>
      <xdr:row>31</xdr:row>
      <xdr:rowOff>8466</xdr:rowOff>
    </xdr:to>
    <mc:AlternateContent xmlns:mc="http://schemas.openxmlformats.org/markup-compatibility/2006" xmlns:a14="http://schemas.microsoft.com/office/drawing/2010/main">
      <mc:Choice Requires="a14">
        <xdr:graphicFrame macro="">
          <xdr:nvGraphicFramePr>
            <xdr:cNvPr id="28" name="Order_Date (Month) 1">
              <a:extLst>
                <a:ext uri="{FF2B5EF4-FFF2-40B4-BE49-F238E27FC236}">
                  <a16:creationId xmlns:a16="http://schemas.microsoft.com/office/drawing/2014/main" id="{A097D6C9-6E75-4BAA-907D-579549827171}"/>
                </a:ext>
              </a:extLst>
            </xdr:cNvPr>
            <xdr:cNvGraphicFramePr/>
          </xdr:nvGraphicFramePr>
          <xdr:xfrm>
            <a:off x="0" y="0"/>
            <a:ext cx="0" cy="0"/>
          </xdr:xfrm>
          <a:graphic>
            <a:graphicData uri="http://schemas.microsoft.com/office/drawing/2010/slicer">
              <sle:slicer xmlns:sle="http://schemas.microsoft.com/office/drawing/2010/slicer" name="Order_Date (Month) 1"/>
            </a:graphicData>
          </a:graphic>
        </xdr:graphicFrame>
      </mc:Choice>
      <mc:Fallback xmlns="">
        <xdr:sp macro="" textlink="">
          <xdr:nvSpPr>
            <xdr:cNvPr id="0" name=""/>
            <xdr:cNvSpPr>
              <a:spLocks noTextEdit="1"/>
            </xdr:cNvSpPr>
          </xdr:nvSpPr>
          <xdr:spPr>
            <a:xfrm>
              <a:off x="13869922" y="3877733"/>
              <a:ext cx="1768867" cy="1905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22</xdr:col>
      <xdr:colOff>558800</xdr:colOff>
      <xdr:row>0</xdr:row>
      <xdr:rowOff>76200</xdr:rowOff>
    </xdr:from>
    <xdr:to>
      <xdr:col>25</xdr:col>
      <xdr:colOff>431800</xdr:colOff>
      <xdr:row>3</xdr:row>
      <xdr:rowOff>110067</xdr:rowOff>
    </xdr:to>
    <xdr:sp macro="[0]!Reset_Dashboard" textlink="">
      <xdr:nvSpPr>
        <xdr:cNvPr id="22" name="Rectangle: Rounded Corners 21">
          <a:extLst>
            <a:ext uri="{FF2B5EF4-FFF2-40B4-BE49-F238E27FC236}">
              <a16:creationId xmlns:a16="http://schemas.microsoft.com/office/drawing/2014/main" id="{F903D78C-3716-AB2E-530D-975122F3A0F7}"/>
            </a:ext>
          </a:extLst>
        </xdr:cNvPr>
        <xdr:cNvSpPr/>
      </xdr:nvSpPr>
      <xdr:spPr>
        <a:xfrm>
          <a:off x="13961533" y="76200"/>
          <a:ext cx="1701800" cy="592667"/>
        </a:xfrm>
        <a:prstGeom prst="roundRect">
          <a:avLst/>
        </a:prstGeom>
        <a:solidFill>
          <a:srgbClr val="20818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800" b="1">
              <a:solidFill>
                <a:schemeClr val="bg1"/>
              </a:solidFill>
            </a:rPr>
            <a:t>Reset</a:t>
          </a:r>
          <a:r>
            <a:rPr lang="en-IN" sz="1800" b="1" baseline="0">
              <a:solidFill>
                <a:schemeClr val="bg1"/>
              </a:solidFill>
            </a:rPr>
            <a:t> Filters</a:t>
          </a:r>
          <a:endParaRPr lang="en-IN" sz="1800" b="1">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8</xdr:col>
      <xdr:colOff>243840</xdr:colOff>
      <xdr:row>6</xdr:row>
      <xdr:rowOff>0</xdr:rowOff>
    </xdr:from>
    <xdr:to>
      <xdr:col>11</xdr:col>
      <xdr:colOff>243840</xdr:colOff>
      <xdr:row>19</xdr:row>
      <xdr:rowOff>89535</xdr:rowOff>
    </xdr:to>
    <mc:AlternateContent xmlns:mc="http://schemas.openxmlformats.org/markup-compatibility/2006" xmlns:a14="http://schemas.microsoft.com/office/drawing/2010/main">
      <mc:Choice Requires="a14">
        <xdr:graphicFrame macro="">
          <xdr:nvGraphicFramePr>
            <xdr:cNvPr id="2" name="Gender 2">
              <a:extLst>
                <a:ext uri="{FF2B5EF4-FFF2-40B4-BE49-F238E27FC236}">
                  <a16:creationId xmlns:a16="http://schemas.microsoft.com/office/drawing/2014/main" id="{1A55AE32-0AB3-348B-66FC-0F17A917AA42}"/>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6301740" y="10972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70370367" backgroundQuery="1" createdVersion="8" refreshedVersion="8" minRefreshableVersion="3" recordCount="0" supportSubquery="1" supportAdvancedDrill="1" xr:uid="{9AA91059-FA26-46C9-AE0A-80405E962716}">
  <cacheSource type="external" connectionId="2"/>
  <cacheFields count="5">
    <cacheField name="[Sales_Data].[Region].[Region]" caption="Region" numFmtId="0" hierarchy="11" level="1">
      <sharedItems count="3">
        <s v="Europe"/>
        <s v="North America"/>
        <s v="Pacific"/>
      </sharedItems>
    </cacheField>
    <cacheField name="[Measures].[Sum of Sales]" caption="Sum of Sales" numFmtId="0" hierarchy="23" level="32767"/>
    <cacheField name="[Sales_Data].[Gender].[Gender]" caption="Gender" numFmtId="0" hierarchy="2"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2"/>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0"/>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4"/>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74074077" backgroundQuery="1" createdVersion="8" refreshedVersion="8" minRefreshableVersion="3" recordCount="0" supportSubquery="1" supportAdvancedDrill="1" xr:uid="{14BF2446-7D6E-4D0D-A0FE-E4D27ABC998B}">
  <cacheSource type="external" connectionId="2"/>
  <cacheFields count="5">
    <cacheField name="[Measures].[Average of Sales]" caption="Average of Sales" numFmtId="0" hierarchy="26" level="32767"/>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1"/>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2"/>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4"/>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75810186" backgroundQuery="1" createdVersion="8" refreshedVersion="8" minRefreshableVersion="3" recordCount="0" supportSubquery="1" supportAdvancedDrill="1" xr:uid="{CC440095-98F5-45F2-A2FD-A4B15DD6F902}">
  <cacheSource type="external" connectionId="2"/>
  <cacheFields count="5">
    <cacheField name="[Sales_Data].[Region].[Region]" caption="Region" numFmtId="0" hierarchy="11" level="1">
      <sharedItems count="3">
        <s v="Europe"/>
        <s v="North America"/>
        <s v="Pacific"/>
      </sharedItems>
    </cacheField>
    <cacheField name="[Measures].[Sum of Sales]" caption="Sum of Sales" numFmtId="0" hierarchy="23" level="32767"/>
    <cacheField name="[Sales_Data].[Gender].[Gender]" caption="Gender" numFmtId="0" hierarchy="2"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2"/>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0"/>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4"/>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81249997" backgroundQuery="1" createdVersion="8" refreshedVersion="8" minRefreshableVersion="3" recordCount="0" supportSubquery="1" supportAdvancedDrill="1" xr:uid="{E7D5EE68-6A6D-4925-85D4-876742D5DD63}">
  <cacheSource type="external" connectionId="2"/>
  <cacheFields count="6">
    <cacheField name="[Sales_Data].[Product Category].[Product Category]" caption="Product Category" numFmtId="0" hierarchy="13" level="1">
      <sharedItems count="2">
        <s v="Bike"/>
        <s v="Car"/>
      </sharedItems>
    </cacheField>
    <cacheField name="[Sales_Data].[Product Sub-Category].[Product Sub-Category]" caption="Product Sub-Category" numFmtId="0" hierarchy="14" level="1">
      <sharedItems count="10">
        <s v="Chain Sprocket"/>
        <s v="Disc Brake"/>
        <s v="Handle Grips"/>
        <s v="LED Indicators"/>
        <s v="Racing Exhaust"/>
        <s v="Alloy Wheels"/>
        <s v="Brake Kit"/>
        <s v="LED Headlights"/>
        <s v="Performance Exhaust"/>
        <s v="Spoiler"/>
      </sharedItems>
    </cacheField>
    <cacheField name="[Measures].[Sum of Sales]" caption="Sum of Sales" numFmtId="0" hierarchy="23" level="32767"/>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3"/>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4"/>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0"/>
      </fieldsUsage>
    </cacheHierarchy>
    <cacheHierarchy uniqueName="[Sales_Data].[Product Sub-Category]" caption="Product Sub-Category" attribute="1" defaultMemberUniqueName="[Sales_Data].[Product Sub-Category].[All]" allUniqueName="[Sales_Data].[Product Sub-Category].[All]" dimensionUniqueName="[Sales_Data]" displayFolder="" count="2" memberValueDatatype="130" unbalanced="0">
      <fieldsUsage count="2">
        <fieldUsage x="-1"/>
        <fieldUsage x="1"/>
      </fieldsUsage>
    </cacheHierarchy>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5"/>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2"/>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85069446" backgroundQuery="1" createdVersion="8" refreshedVersion="8" minRefreshableVersion="3" recordCount="0" supportSubquery="1" supportAdvancedDrill="1" xr:uid="{AC6B26A7-B424-49D2-9C2F-DA48ADE288D5}">
  <cacheSource type="external" connectionId="2"/>
  <cacheFields count="7">
    <cacheField name="[Sales_Data].[Month].[Month]" caption="Month" numFmtId="0" hierarchy="16" level="1">
      <sharedItems count="12">
        <s v="April"/>
        <s v="August"/>
        <s v="December"/>
        <s v="February"/>
        <s v="January"/>
        <s v="July"/>
        <s v="June"/>
        <s v="March"/>
        <s v="May"/>
        <s v="November"/>
        <s v="October"/>
        <s v="September"/>
      </sharedItems>
    </cacheField>
    <cacheField name="[Measures].[Sum of Sales]" caption="Sum of Sales" numFmtId="0" hierarchy="23" level="32767"/>
    <cacheField name="[Sales_Data].[Order_Date (Year)].[Order_Date (Year)]" caption="Order_Date (Year)" numFmtId="0" hierarchy="19" level="1">
      <sharedItems count="1">
        <s v="2023"/>
      </sharedItems>
    </cacheField>
    <cacheField name="[Sales_Data].[Order_Date (Month)].[Order_Date (Month)]" caption="Order_Date (Month)" numFmtId="0" hierarchy="18" level="1">
      <sharedItems count="12">
        <s v="Jan"/>
        <s v="Feb"/>
        <s v="Mar"/>
        <s v="Apr"/>
        <s v="May"/>
        <s v="Jun"/>
        <s v="Jul"/>
        <s v="Aug"/>
        <s v="Sep"/>
        <s v="Oct"/>
        <s v="Nov"/>
        <s v="Dec"/>
      </sharedItems>
    </cacheField>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4"/>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5"/>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6"/>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2" memberValueDatatype="130" unbalanced="0">
      <fieldsUsage count="2">
        <fieldUsage x="-1"/>
        <fieldUsage x="0"/>
      </fieldsUsage>
    </cacheHierarchy>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3"/>
      </fieldsUsage>
    </cacheHierarchy>
    <cacheHierarchy uniqueName="[Sales_Data].[Order_Date (Year)]" caption="Order_Date (Year)" attribute="1" defaultMemberUniqueName="[Sales_Data].[Order_Date (Year)].[All]" allUniqueName="[Sales_Data].[Order_Date (Year)].[All]" dimensionUniqueName="[Sales_Data]" displayFolder="" count="2" memberValueDatatype="130" unbalanced="0">
      <fieldsUsage count="2">
        <fieldUsage x="-1"/>
        <fieldUsage x="2"/>
      </fieldsUsage>
    </cacheHierarchy>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87731478" backgroundQuery="1" createdVersion="8" refreshedVersion="8" minRefreshableVersion="3" recordCount="0" supportSubquery="1" supportAdvancedDrill="1" xr:uid="{A4C07EDF-D60D-4F2F-B1F8-75B5AECD5E2D}">
  <cacheSource type="external" connectionId="2"/>
  <cacheFields count="5">
    <cacheField name="[Sales_Data].[Gender].[Gender]" caption="Gender" numFmtId="0" hierarchy="2" level="1">
      <sharedItems count="2">
        <s v="F"/>
        <s v="M"/>
      </sharedItems>
    </cacheField>
    <cacheField name="[Measures].[Sum of Sales]" caption="Sum of Sales" numFmtId="0" hierarchy="23" level="32767"/>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0"/>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2"/>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4"/>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93055559" backgroundQuery="1" createdVersion="8" refreshedVersion="8" minRefreshableVersion="3" recordCount="0" supportSubquery="1" supportAdvancedDrill="1" xr:uid="{F0487934-9743-471B-8F23-B30A53B61F33}">
  <cacheSource type="external" connectionId="2"/>
  <cacheFields count="6">
    <cacheField name="[Sales_Data].[Income Category].[Income Category]" caption="Income Category" numFmtId="0" hierarchy="4" level="1">
      <sharedItems count="5">
        <s v="High Income"/>
        <s v="Low Income"/>
        <s v="Lower Middle"/>
        <s v="Middle Income"/>
        <s v="Upper Middle"/>
      </sharedItems>
    </cacheField>
    <cacheField name="[Measures].[Sum of Sales]" caption="Sum of Sales" numFmtId="0" hierarchy="23" level="32767"/>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2"/>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2" memberValueDatatype="130" unbalanced="0">
      <fieldsUsage count="2">
        <fieldUsage x="-1"/>
        <fieldUsage x="0"/>
      </fieldsUsage>
    </cacheHierarchy>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3"/>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4"/>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5"/>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1"/>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96180553" backgroundQuery="1" createdVersion="8" refreshedVersion="8" minRefreshableVersion="3" recordCount="0" supportSubquery="1" supportAdvancedDrill="1" xr:uid="{BE6B4BCD-25B5-4D5D-9D92-156679CA75C6}">
  <cacheSource type="external" connectionId="2"/>
  <cacheFields count="4">
    <cacheField name="[Measures].[Sum of Sales]" caption="Sum of Sales" numFmtId="0" hierarchy="23" level="32767"/>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1"/>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2"/>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0" memberValueDatatype="130" unbalanced="0"/>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oneField="1" hidden="1">
      <fieldsUsage count="1">
        <fieldUsage x="0"/>
      </fieldsUsage>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99074071" backgroundQuery="1" createdVersion="8" refreshedVersion="8" minRefreshableVersion="3" recordCount="0" supportSubquery="1" supportAdvancedDrill="1" xr:uid="{DAB6A560-2DED-471A-9A64-6B3D7B3A2F78}">
  <cacheSource type="external" connectionId="2"/>
  <cacheFields count="5">
    <cacheField name="[Measures].[Count of ID]" caption="Count of ID" numFmtId="0" hierarchy="25" level="32767"/>
    <cacheField name="[Sales_Data].[Gender].[Gender]" caption="Gender" numFmtId="0" hierarchy="2" level="1">
      <sharedItems containsSemiMixedTypes="0" containsNonDate="0" containsString="0"/>
    </cacheField>
    <cacheField name="[Sales_Data].[Region].[Region]" caption="Region" numFmtId="0" hierarchy="11" level="1">
      <sharedItems containsSemiMixedTypes="0" containsNonDate="0" containsString="0"/>
    </cacheField>
    <cacheField name="[Sales_Data].[Product Category].[Product Category]" caption="Product Category" numFmtId="0" hierarchy="13" level="1">
      <sharedItems containsSemiMixedTypes="0" containsNonDate="0" containsString="0"/>
    </cacheField>
    <cacheField name="[Sales_Data].[Order_Date (Month)].[Order_Date (Month)]" caption="Order_Date (Month)" numFmtId="0" hierarchy="18" level="1">
      <sharedItems containsSemiMixedTypes="0" containsNonDate="0" containsString="0"/>
    </cacheField>
  </cacheFields>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fieldsUsage count="2">
        <fieldUsage x="-1"/>
        <fieldUsage x="1"/>
      </fieldsUsage>
    </cacheHierarchy>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fieldsUsage count="2">
        <fieldUsage x="-1"/>
        <fieldUsage x="2"/>
      </fieldsUsage>
    </cacheHierarchy>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fieldsUsage count="2">
        <fieldUsage x="-1"/>
        <fieldUsage x="3"/>
      </fieldsUsage>
    </cacheHierarchy>
    <cacheHierarchy uniqueName="[Sales_Data].[Product Sub-Category]" caption="Product Sub-Category" attribute="1" defaultMemberUniqueName="[Sales_Data].[Product Sub-Category].[All]" allUniqueName="[Sales_Data].[Product Sub-Category].[All]" dimensionUniqueName="[Sales_Data]" displayFolder="" count="0"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fieldsUsage count="2">
        <fieldUsage x="-1"/>
        <fieldUsage x="4"/>
      </fieldsUsage>
    </cacheHierarchy>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oneField="1" hidden="1">
      <fieldsUsage count="1">
        <fieldUsage x="0"/>
      </fieldsUsage>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dimensions count="2">
    <dimension measure="1" name="Measures" uniqueName="[Measures]" caption="Measures"/>
    <dimension name="Sales_Data" uniqueName="[Sales_Data]" caption="Sales_Data"/>
  </dimensions>
  <measureGroups count="1">
    <measureGroup name="Sales_Data" caption="Sales_Data"/>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Omkar Sawant" refreshedDate="46206.558366666664" backgroundQuery="1" createdVersion="3" refreshedVersion="8" minRefreshableVersion="3" recordCount="0" supportSubquery="1" supportAdvancedDrill="1" xr:uid="{57B653BA-25FC-4762-8E0B-E7B5AC22EAD2}">
  <cacheSource type="external" connectionId="2">
    <extLst>
      <ext xmlns:x14="http://schemas.microsoft.com/office/spreadsheetml/2009/9/main" uri="{F057638F-6D5F-4e77-A914-E7F072B9BCA8}">
        <x14:sourceConnection name="ThisWorkbookDataModel"/>
      </ext>
    </extLst>
  </cacheSource>
  <cacheFields count="0"/>
  <cacheHierarchies count="28">
    <cacheHierarchy uniqueName="[Sales_Data].[ID]" caption="ID" attribute="1" defaultMemberUniqueName="[Sales_Data].[ID].[All]" allUniqueName="[Sales_Data].[ID].[All]" dimensionUniqueName="[Sales_Data]" displayFolder="" count="0" memberValueDatatype="20" unbalanced="0"/>
    <cacheHierarchy uniqueName="[Sales_Data].[Marital Status]" caption="Marital Status" attribute="1" defaultMemberUniqueName="[Sales_Data].[Marital Status].[All]" allUniqueName="[Sales_Data].[Marital Status].[All]" dimensionUniqueName="[Sales_Data]" displayFolder="" count="0" memberValueDatatype="130" unbalanced="0"/>
    <cacheHierarchy uniqueName="[Sales_Data].[Gender]" caption="Gender" attribute="1" defaultMemberUniqueName="[Sales_Data].[Gender].[All]" allUniqueName="[Sales_Data].[Gender].[All]" dimensionUniqueName="[Sales_Data]" displayFolder="" count="2" memberValueDatatype="130" unbalanced="0"/>
    <cacheHierarchy uniqueName="[Sales_Data].[Income]" caption="Income" attribute="1" defaultMemberUniqueName="[Sales_Data].[Income].[All]" allUniqueName="[Sales_Data].[Income].[All]" dimensionUniqueName="[Sales_Data]" displayFolder="" count="0" memberValueDatatype="20" unbalanced="0"/>
    <cacheHierarchy uniqueName="[Sales_Data].[Income Category]" caption="Income Category" attribute="1" defaultMemberUniqueName="[Sales_Data].[Income Category].[All]" allUniqueName="[Sales_Data].[Income Category].[All]" dimensionUniqueName="[Sales_Data]" displayFolder="" count="0" memberValueDatatype="130" unbalanced="0"/>
    <cacheHierarchy uniqueName="[Sales_Data].[Children]" caption="Children" attribute="1" defaultMemberUniqueName="[Sales_Data].[Children].[All]" allUniqueName="[Sales_Data].[Children].[All]" dimensionUniqueName="[Sales_Data]" displayFolder="" count="0" memberValueDatatype="20" unbalanced="0"/>
    <cacheHierarchy uniqueName="[Sales_Data].[Education]" caption="Education" attribute="1" defaultMemberUniqueName="[Sales_Data].[Education].[All]" allUniqueName="[Sales_Data].[Education].[All]" dimensionUniqueName="[Sales_Data]" displayFolder="" count="0" memberValueDatatype="130" unbalanced="0"/>
    <cacheHierarchy uniqueName="[Sales_Data].[Occupation]" caption="Occupation" attribute="1" defaultMemberUniqueName="[Sales_Data].[Occupation].[All]" allUniqueName="[Sales_Data].[Occupation].[All]" dimensionUniqueName="[Sales_Data]" displayFolder="" count="0" memberValueDatatype="130" unbalanced="0"/>
    <cacheHierarchy uniqueName="[Sales_Data].[Home Owner]" caption="Home Owner" attribute="1" defaultMemberUniqueName="[Sales_Data].[Home Owner].[All]" allUniqueName="[Sales_Data].[Home Owner].[All]" dimensionUniqueName="[Sales_Data]" displayFolder="" count="0" memberValueDatatype="130" unbalanced="0"/>
    <cacheHierarchy uniqueName="[Sales_Data].[Cars]" caption="Cars" attribute="1" defaultMemberUniqueName="[Sales_Data].[Cars].[All]" allUniqueName="[Sales_Data].[Cars].[All]" dimensionUniqueName="[Sales_Data]" displayFolder="" count="0" memberValueDatatype="20" unbalanced="0"/>
    <cacheHierarchy uniqueName="[Sales_Data].[Commute Distance]" caption="Commute Distance" attribute="1" defaultMemberUniqueName="[Sales_Data].[Commute Distance].[All]" allUniqueName="[Sales_Data].[Commute Distance].[All]" dimensionUniqueName="[Sales_Data]" displayFolder="" count="0" memberValueDatatype="130" unbalanced="0"/>
    <cacheHierarchy uniqueName="[Sales_Data].[Region]" caption="Region" attribute="1" defaultMemberUniqueName="[Sales_Data].[Region].[All]" allUniqueName="[Sales_Data].[Region].[All]" dimensionUniqueName="[Sales_Data]" displayFolder="" count="2" memberValueDatatype="130" unbalanced="0"/>
    <cacheHierarchy uniqueName="[Sales_Data].[Age]" caption="Age" attribute="1" defaultMemberUniqueName="[Sales_Data].[Age].[All]" allUniqueName="[Sales_Data].[Age].[All]" dimensionUniqueName="[Sales_Data]" displayFolder="" count="0" memberValueDatatype="20" unbalanced="0"/>
    <cacheHierarchy uniqueName="[Sales_Data].[Product Category]" caption="Product Category" attribute="1" defaultMemberUniqueName="[Sales_Data].[Product Category].[All]" allUniqueName="[Sales_Data].[Product Category].[All]" dimensionUniqueName="[Sales_Data]" displayFolder="" count="2" memberValueDatatype="130" unbalanced="0"/>
    <cacheHierarchy uniqueName="[Sales_Data].[Product Sub-Category]" caption="Product Sub-Category" attribute="1" defaultMemberUniqueName="[Sales_Data].[Product Sub-Category].[All]" allUniqueName="[Sales_Data].[Product Sub-Category].[All]" dimensionUniqueName="[Sales_Data]" displayFolder="" count="2" memberValueDatatype="130" unbalanced="0"/>
    <cacheHierarchy uniqueName="[Sales_Data].[Sales]" caption="Sales" attribute="1" defaultMemberUniqueName="[Sales_Data].[Sales].[All]" allUniqueName="[Sales_Data].[Sales].[All]" dimensionUniqueName="[Sales_Data]" displayFolder="" count="0" memberValueDatatype="5" unbalanced="0"/>
    <cacheHierarchy uniqueName="[Sales_Data].[Month]" caption="Month" attribute="1" defaultMemberUniqueName="[Sales_Data].[Month].[All]" allUniqueName="[Sales_Data].[Month].[All]" dimensionUniqueName="[Sales_Data]" displayFolder="" count="0" memberValueDatatype="130" unbalanced="0"/>
    <cacheHierarchy uniqueName="[Sales_Data].[Order_Date]" caption="Order_Date" attribute="1" time="1" defaultMemberUniqueName="[Sales_Data].[Order_Date].[All]" allUniqueName="[Sales_Data].[Order_Date].[All]" dimensionUniqueName="[Sales_Data]" displayFolder="" count="0" memberValueDatatype="7" unbalanced="0"/>
    <cacheHierarchy uniqueName="[Sales_Data].[Order_Date (Month)]" caption="Order_Date (Month)" attribute="1" defaultMemberUniqueName="[Sales_Data].[Order_Date (Month)].[All]" allUniqueName="[Sales_Data].[Order_Date (Month)].[All]" dimensionUniqueName="[Sales_Data]" displayFolder="" count="2" memberValueDatatype="130" unbalanced="0"/>
    <cacheHierarchy uniqueName="[Sales_Data].[Order_Date (Year)]" caption="Order_Date (Year)" attribute="1" defaultMemberUniqueName="[Sales_Data].[Order_Date (Year)].[All]" allUniqueName="[Sales_Data].[Order_Date (Year)].[All]" dimensionUniqueName="[Sales_Data]" displayFolder="" count="0" memberValueDatatype="130" unbalanced="0"/>
    <cacheHierarchy uniqueName="[Sales_Data].[Order_Date (Month Index)]" caption="Order_Date (Month Index)" attribute="1" defaultMemberUniqueName="[Sales_Data].[Order_Date (Month Index)].[All]" allUniqueName="[Sales_Data].[Order_Date (Month Index)].[All]" dimensionUniqueName="[Sales_Data]" displayFolder="" count="0" memberValueDatatype="20" unbalanced="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Sum of Sales]" caption="Sum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D]" caption="Sum of ID" measure="1" displayFolder="" measureGroup="Sales_Data" count="0" hidden="1">
      <extLst>
        <ext xmlns:x15="http://schemas.microsoft.com/office/spreadsheetml/2010/11/main" uri="{B97F6D7D-B522-45F9-BDA1-12C45D357490}">
          <x15:cacheHierarchy aggregatedColumn="0"/>
        </ext>
      </extLst>
    </cacheHierarchy>
    <cacheHierarchy uniqueName="[Measures].[Count of ID]" caption="Count of ID" measure="1" displayFolder="" measureGroup="Sales_Data" count="0" hidden="1">
      <extLst>
        <ext xmlns:x15="http://schemas.microsoft.com/office/spreadsheetml/2010/11/main" uri="{B97F6D7D-B522-45F9-BDA1-12C45D357490}">
          <x15:cacheHierarchy aggregatedColumn="0"/>
        </ext>
      </extLst>
    </cacheHierarchy>
    <cacheHierarchy uniqueName="[Measures].[Average of Sales]" caption="Average of Sales" measure="1" displayFolder="" measureGroup="Sales_Data" count="0" hidden="1">
      <extLst>
        <ext xmlns:x15="http://schemas.microsoft.com/office/spreadsheetml/2010/11/main" uri="{B97F6D7D-B522-45F9-BDA1-12C45D357490}">
          <x15:cacheHierarchy aggregatedColumn="15"/>
        </ext>
      </extLst>
    </cacheHierarchy>
    <cacheHierarchy uniqueName="[Measures].[Sum of Income]" caption="Sum of Income" measure="1" displayFolder="" measureGroup="Sales_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70351949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D94D53-237D-47CF-9905-0C2F93750B70}" name="PivotTable4" cacheId="30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B9" firstHeaderRow="1" firstDataRow="1" firstDataCol="1"/>
  <pivotFields count="6">
    <pivotField axis="axisRow" allDrilled="1" subtotalTop="0" showAll="0" dataSourceSort="1" defaultSubtotal="0" defaultAttributeDrillState="1">
      <items count="5">
        <item x="0"/>
        <item x="1"/>
        <item x="2"/>
        <item x="3"/>
        <item x="4"/>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6">
    <i>
      <x/>
    </i>
    <i>
      <x v="1"/>
    </i>
    <i>
      <x v="2"/>
    </i>
    <i>
      <x v="3"/>
    </i>
    <i>
      <x v="4"/>
    </i>
    <i t="grand">
      <x/>
    </i>
  </rowItems>
  <colItems count="1">
    <i/>
  </colItems>
  <dataFields count="1">
    <dataField name="Sum of Sales" fld="1" baseField="0" baseItem="0"/>
  </dataFields>
  <chartFormats count="12">
    <chartFormat chart="1" format="0" series="1">
      <pivotArea type="data" outline="0" fieldPosition="0">
        <references count="1">
          <reference field="4294967294" count="1" selected="0">
            <x v="0"/>
          </reference>
        </references>
      </pivotArea>
    </chartFormat>
    <chartFormat chart="1" format="1">
      <pivotArea type="data" outline="0" fieldPosition="0">
        <references count="2">
          <reference field="4294967294" count="1" selected="0">
            <x v="0"/>
          </reference>
          <reference field="0" count="1" selected="0">
            <x v="0"/>
          </reference>
        </references>
      </pivotArea>
    </chartFormat>
    <chartFormat chart="1" format="2">
      <pivotArea type="data" outline="0" fieldPosition="0">
        <references count="2">
          <reference field="4294967294" count="1" selected="0">
            <x v="0"/>
          </reference>
          <reference field="0" count="1" selected="0">
            <x v="1"/>
          </reference>
        </references>
      </pivotArea>
    </chartFormat>
    <chartFormat chart="1" format="3">
      <pivotArea type="data" outline="0" fieldPosition="0">
        <references count="2">
          <reference field="4294967294" count="1" selected="0">
            <x v="0"/>
          </reference>
          <reference field="0" count="1" selected="0">
            <x v="2"/>
          </reference>
        </references>
      </pivotArea>
    </chartFormat>
    <chartFormat chart="1" format="4">
      <pivotArea type="data" outline="0" fieldPosition="0">
        <references count="2">
          <reference field="4294967294" count="1" selected="0">
            <x v="0"/>
          </reference>
          <reference field="0" count="1" selected="0">
            <x v="3"/>
          </reference>
        </references>
      </pivotArea>
    </chartFormat>
    <chartFormat chart="1" format="5">
      <pivotArea type="data" outline="0" fieldPosition="0">
        <references count="2">
          <reference field="4294967294" count="1" selected="0">
            <x v="0"/>
          </reference>
          <reference field="0" count="1" selected="0">
            <x v="4"/>
          </reference>
        </references>
      </pivotArea>
    </chartFormat>
    <chartFormat chart="12" format="12" series="1">
      <pivotArea type="data" outline="0" fieldPosition="0">
        <references count="1">
          <reference field="4294967294" count="1" selected="0">
            <x v="0"/>
          </reference>
        </references>
      </pivotArea>
    </chartFormat>
    <chartFormat chart="12" format="13">
      <pivotArea type="data" outline="0" fieldPosition="0">
        <references count="2">
          <reference field="4294967294" count="1" selected="0">
            <x v="0"/>
          </reference>
          <reference field="0" count="1" selected="0">
            <x v="0"/>
          </reference>
        </references>
      </pivotArea>
    </chartFormat>
    <chartFormat chart="12" format="14">
      <pivotArea type="data" outline="0" fieldPosition="0">
        <references count="2">
          <reference field="4294967294" count="1" selected="0">
            <x v="0"/>
          </reference>
          <reference field="0" count="1" selected="0">
            <x v="1"/>
          </reference>
        </references>
      </pivotArea>
    </chartFormat>
    <chartFormat chart="12" format="15">
      <pivotArea type="data" outline="0" fieldPosition="0">
        <references count="2">
          <reference field="4294967294" count="1" selected="0">
            <x v="0"/>
          </reference>
          <reference field="0" count="1" selected="0">
            <x v="2"/>
          </reference>
        </references>
      </pivotArea>
    </chartFormat>
    <chartFormat chart="12" format="16">
      <pivotArea type="data" outline="0" fieldPosition="0">
        <references count="2">
          <reference field="4294967294" count="1" selected="0">
            <x v="0"/>
          </reference>
          <reference field="0" count="1" selected="0">
            <x v="3"/>
          </reference>
        </references>
      </pivotArea>
    </chartFormat>
    <chartFormat chart="12" format="17">
      <pivotArea type="data" outline="0" fieldPosition="0">
        <references count="2">
          <reference field="4294967294" count="1" selected="0">
            <x v="0"/>
          </reference>
          <reference field="0" count="1" selected="0">
            <x v="4"/>
          </reference>
        </references>
      </pivotArea>
    </chartFormat>
  </chart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F13DF3A-9965-4217-862C-139311333F5D}" name="PivotTable1" cacheId="29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0">
  <location ref="A3:B6" firstHeaderRow="1" firstDataRow="1" firstDataCol="1"/>
  <pivotFields count="5">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3">
    <i>
      <x/>
    </i>
    <i>
      <x v="1"/>
    </i>
    <i t="grand">
      <x/>
    </i>
  </rowItems>
  <colItems count="1">
    <i/>
  </colItems>
  <dataFields count="1">
    <dataField name="Sum of Sales" fld="1" baseField="0" baseItem="0"/>
  </dataFields>
  <chartFormats count="12">
    <chartFormat chart="3" format="0" series="1">
      <pivotArea type="data" outline="0" fieldPosition="0">
        <references count="1">
          <reference field="4294967294" count="1" selected="0">
            <x v="0"/>
          </reference>
        </references>
      </pivotArea>
    </chartFormat>
    <chartFormat chart="3" format="1">
      <pivotArea type="data" outline="0" fieldPosition="0">
        <references count="2">
          <reference field="4294967294" count="1" selected="0">
            <x v="0"/>
          </reference>
          <reference field="0" count="1" selected="0">
            <x v="0"/>
          </reference>
        </references>
      </pivotArea>
    </chartFormat>
    <chartFormat chart="3" format="2">
      <pivotArea type="data" outline="0" fieldPosition="0">
        <references count="2">
          <reference field="4294967294" count="1" selected="0">
            <x v="0"/>
          </reference>
          <reference field="0" count="1" selected="0">
            <x v="1"/>
          </reference>
        </references>
      </pivotArea>
    </chartFormat>
    <chartFormat chart="5"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0" count="1" selected="0">
            <x v="0"/>
          </reference>
        </references>
      </pivotArea>
    </chartFormat>
    <chartFormat chart="5" format="5">
      <pivotArea type="data" outline="0" fieldPosition="0">
        <references count="2">
          <reference field="4294967294" count="1" selected="0">
            <x v="0"/>
          </reference>
          <reference field="0" count="1" selected="0">
            <x v="1"/>
          </reference>
        </references>
      </pivotArea>
    </chartFormat>
    <chartFormat chart="6" format="6" series="1">
      <pivotArea type="data" outline="0" fieldPosition="0">
        <references count="1">
          <reference field="4294967294" count="1" selected="0">
            <x v="0"/>
          </reference>
        </references>
      </pivotArea>
    </chartFormat>
    <chartFormat chart="6" format="7">
      <pivotArea type="data" outline="0" fieldPosition="0">
        <references count="2">
          <reference field="4294967294" count="1" selected="0">
            <x v="0"/>
          </reference>
          <reference field="0" count="1" selected="0">
            <x v="0"/>
          </reference>
        </references>
      </pivotArea>
    </chartFormat>
    <chartFormat chart="6" format="8">
      <pivotArea type="data" outline="0" fieldPosition="0">
        <references count="2">
          <reference field="4294967294" count="1" selected="0">
            <x v="0"/>
          </reference>
          <reference field="0" count="1" selected="0">
            <x v="1"/>
          </reference>
        </references>
      </pivotArea>
    </chartFormat>
    <chartFormat chart="7" format="6" series="1">
      <pivotArea type="data" outline="0" fieldPosition="0">
        <references count="1">
          <reference field="4294967294" count="1" selected="0">
            <x v="0"/>
          </reference>
        </references>
      </pivotArea>
    </chartFormat>
    <chartFormat chart="7" format="7">
      <pivotArea type="data" outline="0" fieldPosition="0">
        <references count="2">
          <reference field="4294967294" count="1" selected="0">
            <x v="0"/>
          </reference>
          <reference field="0" count="1" selected="0">
            <x v="0"/>
          </reference>
        </references>
      </pivotArea>
    </chartFormat>
    <chartFormat chart="7" format="8">
      <pivotArea type="data" outline="0" fieldPosition="0">
        <references count="2">
          <reference field="4294967294" count="1" selected="0">
            <x v="0"/>
          </reference>
          <reference field="0" count="1" selected="0">
            <x v="1"/>
          </reference>
        </references>
      </pivotArea>
    </chartFormat>
  </chart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E017927-CAC0-4D33-B9F0-0702EFF38A38}" name="PivotTable1" cacheId="284" applyNumberFormats="0" applyBorderFormats="0" applyFontFormats="0" applyPatternFormats="0" applyAlignmentFormats="0" applyWidthHeightFormats="1" dataCaption="Values" tag="7aac8f46-2e38-4960-add8-787b727f5ab9" updatedVersion="8" minRefreshableVersion="3" useAutoFormatting="1" subtotalHiddenItems="1" itemPrintTitles="1" createdVersion="8" indent="0" outline="1" outlineData="1" multipleFieldFilters="0" chartFormat="24">
  <location ref="A3:B7" firstHeaderRow="1" firstDataRow="1" firstDataCol="1"/>
  <pivotFields count="5">
    <pivotField axis="axisRow"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i>
    <i>
      <x v="1"/>
    </i>
    <i>
      <x v="2"/>
    </i>
    <i t="grand">
      <x/>
    </i>
  </rowItems>
  <colItems count="1">
    <i/>
  </colItems>
  <dataFields count="1">
    <dataField name="Sum of Sales" fld="1" baseField="0" baseItem="0"/>
  </dataFields>
  <chartFormats count="10">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20" format="8" series="1">
      <pivotArea type="data" outline="0" fieldPosition="0">
        <references count="1">
          <reference field="4294967294" count="1" selected="0">
            <x v="0"/>
          </reference>
        </references>
      </pivotArea>
    </chartFormat>
    <chartFormat chart="20" format="9">
      <pivotArea type="data" outline="0" fieldPosition="0">
        <references count="2">
          <reference field="4294967294" count="1" selected="0">
            <x v="0"/>
          </reference>
          <reference field="0" count="1" selected="0">
            <x v="0"/>
          </reference>
        </references>
      </pivotArea>
    </chartFormat>
    <chartFormat chart="20" format="10">
      <pivotArea type="data" outline="0" fieldPosition="0">
        <references count="2">
          <reference field="4294967294" count="1" selected="0">
            <x v="0"/>
          </reference>
          <reference field="0" count="1" selected="0">
            <x v="1"/>
          </reference>
        </references>
      </pivotArea>
    </chartFormat>
    <chartFormat chart="20" format="11">
      <pivotArea type="data" outline="0" fieldPosition="0">
        <references count="2">
          <reference field="4294967294" count="1" selected="0">
            <x v="0"/>
          </reference>
          <reference field="0" count="1" selected="0">
            <x v="2"/>
          </reference>
        </references>
      </pivotArea>
    </chartFormat>
  </chart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BDD0CF3-A775-46E8-B82B-427952B32CF0}" name="PivotTable2" cacheId="29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3">
  <location ref="A3:B16" firstHeaderRow="1" firstDataRow="1" firstDataCol="1"/>
  <pivotFields count="6">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0"/>
    <field x="1"/>
  </rowFields>
  <rowItems count="13">
    <i>
      <x/>
    </i>
    <i r="1">
      <x/>
    </i>
    <i r="1">
      <x v="1"/>
    </i>
    <i r="1">
      <x v="2"/>
    </i>
    <i r="1">
      <x v="3"/>
    </i>
    <i r="1">
      <x v="4"/>
    </i>
    <i>
      <x v="1"/>
    </i>
    <i r="1">
      <x v="5"/>
    </i>
    <i r="1">
      <x v="6"/>
    </i>
    <i r="1">
      <x v="7"/>
    </i>
    <i r="1">
      <x v="8"/>
    </i>
    <i r="1">
      <x v="9"/>
    </i>
    <i t="grand">
      <x/>
    </i>
  </rowItems>
  <colItems count="1">
    <i/>
  </colItems>
  <dataFields count="1">
    <dataField name="Sum of Sales" fld="2" baseField="0" baseItem="0"/>
  </dataFields>
  <chartFormats count="27">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0" count="1" selected="0">
            <x v="0"/>
          </reference>
          <reference field="1" count="1" selected="0">
            <x v="0"/>
          </reference>
        </references>
      </pivotArea>
    </chartFormat>
    <chartFormat chart="0" format="2">
      <pivotArea type="data" outline="0" fieldPosition="0">
        <references count="3">
          <reference field="4294967294" count="1" selected="0">
            <x v="0"/>
          </reference>
          <reference field="0" count="1" selected="0">
            <x v="1"/>
          </reference>
          <reference field="1" count="1" selected="0">
            <x v="5"/>
          </reference>
        </references>
      </pivotArea>
    </chartFormat>
    <chartFormat chart="0" format="3">
      <pivotArea type="data" outline="0" fieldPosition="0">
        <references count="3">
          <reference field="4294967294" count="1" selected="0">
            <x v="0"/>
          </reference>
          <reference field="0" count="1" selected="0">
            <x v="1"/>
          </reference>
          <reference field="1" count="1" selected="0">
            <x v="6"/>
          </reference>
        </references>
      </pivotArea>
    </chartFormat>
    <chartFormat chart="0" format="4">
      <pivotArea type="data" outline="0" fieldPosition="0">
        <references count="3">
          <reference field="4294967294" count="1" selected="0">
            <x v="0"/>
          </reference>
          <reference field="0" count="1" selected="0">
            <x v="1"/>
          </reference>
          <reference field="1" count="1" selected="0">
            <x v="7"/>
          </reference>
        </references>
      </pivotArea>
    </chartFormat>
    <chartFormat chart="0" format="5">
      <pivotArea type="data" outline="0" fieldPosition="0">
        <references count="3">
          <reference field="4294967294" count="1" selected="0">
            <x v="0"/>
          </reference>
          <reference field="0" count="1" selected="0">
            <x v="1"/>
          </reference>
          <reference field="1" count="1" selected="0">
            <x v="8"/>
          </reference>
        </references>
      </pivotArea>
    </chartFormat>
    <chartFormat chart="0" format="6">
      <pivotArea type="data" outline="0" fieldPosition="0">
        <references count="3">
          <reference field="4294967294" count="1" selected="0">
            <x v="0"/>
          </reference>
          <reference field="0" count="1" selected="0">
            <x v="1"/>
          </reference>
          <reference field="1" count="1" selected="0">
            <x v="9"/>
          </reference>
        </references>
      </pivotArea>
    </chartFormat>
    <chartFormat chart="10" format="14" series="1">
      <pivotArea type="data" outline="0" fieldPosition="0">
        <references count="1">
          <reference field="4294967294" count="1" selected="0">
            <x v="0"/>
          </reference>
        </references>
      </pivotArea>
    </chartFormat>
    <chartFormat chart="10" format="15">
      <pivotArea type="data" outline="0" fieldPosition="0">
        <references count="3">
          <reference field="4294967294" count="1" selected="0">
            <x v="0"/>
          </reference>
          <reference field="0" count="1" selected="0">
            <x v="0"/>
          </reference>
          <reference field="1" count="1" selected="0">
            <x v="0"/>
          </reference>
        </references>
      </pivotArea>
    </chartFormat>
    <chartFormat chart="10" format="16">
      <pivotArea type="data" outline="0" fieldPosition="0">
        <references count="3">
          <reference field="4294967294" count="1" selected="0">
            <x v="0"/>
          </reference>
          <reference field="0" count="1" selected="0">
            <x v="1"/>
          </reference>
          <reference field="1" count="1" selected="0">
            <x v="5"/>
          </reference>
        </references>
      </pivotArea>
    </chartFormat>
    <chartFormat chart="10" format="17">
      <pivotArea type="data" outline="0" fieldPosition="0">
        <references count="3">
          <reference field="4294967294" count="1" selected="0">
            <x v="0"/>
          </reference>
          <reference field="0" count="1" selected="0">
            <x v="1"/>
          </reference>
          <reference field="1" count="1" selected="0">
            <x v="6"/>
          </reference>
        </references>
      </pivotArea>
    </chartFormat>
    <chartFormat chart="10" format="18">
      <pivotArea type="data" outline="0" fieldPosition="0">
        <references count="3">
          <reference field="4294967294" count="1" selected="0">
            <x v="0"/>
          </reference>
          <reference field="0" count="1" selected="0">
            <x v="1"/>
          </reference>
          <reference field="1" count="1" selected="0">
            <x v="7"/>
          </reference>
        </references>
      </pivotArea>
    </chartFormat>
    <chartFormat chart="10" format="19">
      <pivotArea type="data" outline="0" fieldPosition="0">
        <references count="3">
          <reference field="4294967294" count="1" selected="0">
            <x v="0"/>
          </reference>
          <reference field="0" count="1" selected="0">
            <x v="1"/>
          </reference>
          <reference field="1" count="1" selected="0">
            <x v="8"/>
          </reference>
        </references>
      </pivotArea>
    </chartFormat>
    <chartFormat chart="10" format="20">
      <pivotArea type="data" outline="0" fieldPosition="0">
        <references count="3">
          <reference field="4294967294" count="1" selected="0">
            <x v="0"/>
          </reference>
          <reference field="0" count="1" selected="0">
            <x v="1"/>
          </reference>
          <reference field="1" count="1" selected="0">
            <x v="9"/>
          </reference>
        </references>
      </pivotArea>
    </chartFormat>
    <chartFormat chart="11" format="21" series="1">
      <pivotArea type="data" outline="0" fieldPosition="0">
        <references count="1">
          <reference field="4294967294" count="1" selected="0">
            <x v="0"/>
          </reference>
        </references>
      </pivotArea>
    </chartFormat>
    <chartFormat chart="11" format="22">
      <pivotArea type="data" outline="0" fieldPosition="0">
        <references count="3">
          <reference field="4294967294" count="1" selected="0">
            <x v="0"/>
          </reference>
          <reference field="0" count="1" selected="0">
            <x v="0"/>
          </reference>
          <reference field="1" count="1" selected="0">
            <x v="0"/>
          </reference>
        </references>
      </pivotArea>
    </chartFormat>
    <chartFormat chart="11" format="23">
      <pivotArea type="data" outline="0" fieldPosition="0">
        <references count="3">
          <reference field="4294967294" count="1" selected="0">
            <x v="0"/>
          </reference>
          <reference field="0" count="1" selected="0">
            <x v="1"/>
          </reference>
          <reference field="1" count="1" selected="0">
            <x v="5"/>
          </reference>
        </references>
      </pivotArea>
    </chartFormat>
    <chartFormat chart="11" format="24">
      <pivotArea type="data" outline="0" fieldPosition="0">
        <references count="3">
          <reference field="4294967294" count="1" selected="0">
            <x v="0"/>
          </reference>
          <reference field="0" count="1" selected="0">
            <x v="1"/>
          </reference>
          <reference field="1" count="1" selected="0">
            <x v="6"/>
          </reference>
        </references>
      </pivotArea>
    </chartFormat>
    <chartFormat chart="11" format="25">
      <pivotArea type="data" outline="0" fieldPosition="0">
        <references count="3">
          <reference field="4294967294" count="1" selected="0">
            <x v="0"/>
          </reference>
          <reference field="0" count="1" selected="0">
            <x v="1"/>
          </reference>
          <reference field="1" count="1" selected="0">
            <x v="7"/>
          </reference>
        </references>
      </pivotArea>
    </chartFormat>
    <chartFormat chart="11" format="26">
      <pivotArea type="data" outline="0" fieldPosition="0">
        <references count="3">
          <reference field="4294967294" count="1" selected="0">
            <x v="0"/>
          </reference>
          <reference field="0" count="1" selected="0">
            <x v="1"/>
          </reference>
          <reference field="1" count="1" selected="0">
            <x v="8"/>
          </reference>
        </references>
      </pivotArea>
    </chartFormat>
    <chartFormat chart="11" format="27">
      <pivotArea type="data" outline="0" fieldPosition="0">
        <references count="3">
          <reference field="4294967294" count="1" selected="0">
            <x v="0"/>
          </reference>
          <reference field="0" count="1" selected="0">
            <x v="1"/>
          </reference>
          <reference field="1" count="1" selected="0">
            <x v="9"/>
          </reference>
        </references>
      </pivotArea>
    </chartFormat>
    <chartFormat chart="12" format="35" series="1">
      <pivotArea type="data" outline="0" fieldPosition="0">
        <references count="1">
          <reference field="4294967294" count="1" selected="0">
            <x v="0"/>
          </reference>
        </references>
      </pivotArea>
    </chartFormat>
    <chartFormat chart="0" format="7">
      <pivotArea type="data" outline="0" fieldPosition="0">
        <references count="2">
          <reference field="4294967294" count="1" selected="0">
            <x v="0"/>
          </reference>
          <reference field="0" count="1" selected="0">
            <x v="0"/>
          </reference>
        </references>
      </pivotArea>
    </chartFormat>
    <chartFormat chart="0" format="8">
      <pivotArea type="data" outline="0" fieldPosition="0">
        <references count="3">
          <reference field="4294967294" count="1" selected="0">
            <x v="0"/>
          </reference>
          <reference field="0" count="1" selected="0">
            <x v="0"/>
          </reference>
          <reference field="1" count="1" selected="0">
            <x v="1"/>
          </reference>
        </references>
      </pivotArea>
    </chartFormat>
    <chartFormat chart="0" format="9">
      <pivotArea type="data" outline="0" fieldPosition="0">
        <references count="3">
          <reference field="4294967294" count="1" selected="0">
            <x v="0"/>
          </reference>
          <reference field="0" count="1" selected="0">
            <x v="0"/>
          </reference>
          <reference field="1" count="1" selected="0">
            <x v="2"/>
          </reference>
        </references>
      </pivotArea>
    </chartFormat>
    <chartFormat chart="0" format="10">
      <pivotArea type="data" outline="0" fieldPosition="0">
        <references count="3">
          <reference field="4294967294" count="1" selected="0">
            <x v="0"/>
          </reference>
          <reference field="0" count="1" selected="0">
            <x v="0"/>
          </reference>
          <reference field="1" count="1" selected="0">
            <x v="3"/>
          </reference>
        </references>
      </pivotArea>
    </chartFormat>
    <chartFormat chart="0" format="11">
      <pivotArea type="data" outline="0" fieldPosition="0">
        <references count="3">
          <reference field="4294967294" count="1" selected="0">
            <x v="0"/>
          </reference>
          <reference field="0" count="1" selected="0">
            <x v="0"/>
          </reference>
          <reference field="1" count="1" selected="0">
            <x v="4"/>
          </reference>
        </references>
      </pivotArea>
    </chartFormat>
  </chart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3"/>
    <rowHierarchyUsage hierarchyUsage="1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A03ED28-EE5C-414F-B484-F457148CAAB3}" name="PivotTable3" cacheId="296" applyNumberFormats="0" applyBorderFormats="0" applyFontFormats="0" applyPatternFormats="0" applyAlignmentFormats="0" applyWidthHeightFormats="1" dataCaption="Values" tag="de2e9eee-8675-4022-967a-ab9c254ce4a5" updatedVersion="8" minRefreshableVersion="3" useAutoFormatting="1" subtotalHiddenItems="1" itemPrintTitles="1" createdVersion="8" indent="0" outline="1" outlineData="1" multipleFieldFilters="0" chartFormat="10">
  <location ref="A3:B17" firstHeaderRow="1" firstDataRow="1" firstDataCol="1"/>
  <pivotFields count="7">
    <pivotField allDrilled="1" subtotalTop="0" showAll="0" sortType="ascending" defaultSubtotal="0" defaultAttributeDrillState="1">
      <items count="12">
        <item x="4"/>
        <item x="3"/>
        <item x="7"/>
        <item x="0"/>
        <item x="8"/>
        <item x="6"/>
        <item x="5"/>
        <item x="1"/>
        <item x="11"/>
        <item x="10"/>
        <item x="9"/>
        <item x="2"/>
      </items>
    </pivotField>
    <pivotField dataField="1" subtotalTop="0" showAll="0" defaultSubtotal="0"/>
    <pivotField axis="axisRow" allDrilled="1" subtotalTop="0" showAll="0" dataSourceSort="1" defaultSubtotal="0" defaultAttributeDrillState="1">
      <items count="1">
        <item x="0"/>
      </items>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2">
    <field x="2"/>
    <field x="3"/>
  </rowFields>
  <rowItems count="14">
    <i>
      <x/>
    </i>
    <i r="1">
      <x/>
    </i>
    <i r="1">
      <x v="1"/>
    </i>
    <i r="1">
      <x v="2"/>
    </i>
    <i r="1">
      <x v="3"/>
    </i>
    <i r="1">
      <x v="4"/>
    </i>
    <i r="1">
      <x v="5"/>
    </i>
    <i r="1">
      <x v="6"/>
    </i>
    <i r="1">
      <x v="7"/>
    </i>
    <i r="1">
      <x v="8"/>
    </i>
    <i r="1">
      <x v="9"/>
    </i>
    <i r="1">
      <x v="10"/>
    </i>
    <i r="1">
      <x v="11"/>
    </i>
    <i t="grand">
      <x/>
    </i>
  </rowItems>
  <colItems count="1">
    <i/>
  </colItems>
  <dataFields count="1">
    <dataField name="Sum of Sales" fld="1" baseField="0" baseItem="0"/>
  </dataFields>
  <chartFormats count="17">
    <chartFormat chart="0" format="0" series="1">
      <pivotArea type="data" outline="0" fieldPosition="0">
        <references count="1">
          <reference field="4294967294" count="1" selected="0">
            <x v="0"/>
          </reference>
        </references>
      </pivotArea>
    </chartFormat>
    <chartFormat chart="0" format="1">
      <pivotArea type="data" outline="0" fieldPosition="0">
        <references count="3">
          <reference field="4294967294" count="1" selected="0">
            <x v="0"/>
          </reference>
          <reference field="2" count="1" selected="0">
            <x v="0"/>
          </reference>
          <reference field="3" count="1" selected="0">
            <x v="0"/>
          </reference>
        </references>
      </pivotArea>
    </chartFormat>
    <chartFormat chart="0" format="2">
      <pivotArea type="data" outline="0" fieldPosition="0">
        <references count="3">
          <reference field="4294967294" count="1" selected="0">
            <x v="0"/>
          </reference>
          <reference field="2" count="1" selected="0">
            <x v="0"/>
          </reference>
          <reference field="3" count="1" selected="0">
            <x v="1"/>
          </reference>
        </references>
      </pivotArea>
    </chartFormat>
    <chartFormat chart="0" format="3">
      <pivotArea type="data" outline="0" fieldPosition="0">
        <references count="3">
          <reference field="4294967294" count="1" selected="0">
            <x v="0"/>
          </reference>
          <reference field="2" count="1" selected="0">
            <x v="0"/>
          </reference>
          <reference field="3" count="1" selected="0">
            <x v="2"/>
          </reference>
        </references>
      </pivotArea>
    </chartFormat>
    <chartFormat chart="0" format="4">
      <pivotArea type="data" outline="0" fieldPosition="0">
        <references count="3">
          <reference field="4294967294" count="1" selected="0">
            <x v="0"/>
          </reference>
          <reference field="2" count="1" selected="0">
            <x v="0"/>
          </reference>
          <reference field="3" count="1" selected="0">
            <x v="3"/>
          </reference>
        </references>
      </pivotArea>
    </chartFormat>
    <chartFormat chart="0" format="5">
      <pivotArea type="data" outline="0" fieldPosition="0">
        <references count="3">
          <reference field="4294967294" count="1" selected="0">
            <x v="0"/>
          </reference>
          <reference field="2" count="1" selected="0">
            <x v="0"/>
          </reference>
          <reference field="3" count="1" selected="0">
            <x v="4"/>
          </reference>
        </references>
      </pivotArea>
    </chartFormat>
    <chartFormat chart="0" format="6">
      <pivotArea type="data" outline="0" fieldPosition="0">
        <references count="3">
          <reference field="4294967294" count="1" selected="0">
            <x v="0"/>
          </reference>
          <reference field="2" count="1" selected="0">
            <x v="0"/>
          </reference>
          <reference field="3" count="1" selected="0">
            <x v="5"/>
          </reference>
        </references>
      </pivotArea>
    </chartFormat>
    <chartFormat chart="0" format="7">
      <pivotArea type="data" outline="0" fieldPosition="0">
        <references count="3">
          <reference field="4294967294" count="1" selected="0">
            <x v="0"/>
          </reference>
          <reference field="2" count="1" selected="0">
            <x v="0"/>
          </reference>
          <reference field="3" count="1" selected="0">
            <x v="6"/>
          </reference>
        </references>
      </pivotArea>
    </chartFormat>
    <chartFormat chart="0" format="8">
      <pivotArea type="data" outline="0" fieldPosition="0">
        <references count="3">
          <reference field="4294967294" count="1" selected="0">
            <x v="0"/>
          </reference>
          <reference field="2" count="1" selected="0">
            <x v="0"/>
          </reference>
          <reference field="3" count="1" selected="0">
            <x v="7"/>
          </reference>
        </references>
      </pivotArea>
    </chartFormat>
    <chartFormat chart="0" format="9">
      <pivotArea type="data" outline="0" fieldPosition="0">
        <references count="3">
          <reference field="4294967294" count="1" selected="0">
            <x v="0"/>
          </reference>
          <reference field="2" count="1" selected="0">
            <x v="0"/>
          </reference>
          <reference field="3" count="1" selected="0">
            <x v="8"/>
          </reference>
        </references>
      </pivotArea>
    </chartFormat>
    <chartFormat chart="0" format="10">
      <pivotArea type="data" outline="0" fieldPosition="0">
        <references count="3">
          <reference field="4294967294" count="1" selected="0">
            <x v="0"/>
          </reference>
          <reference field="2" count="1" selected="0">
            <x v="0"/>
          </reference>
          <reference field="3" count="1" selected="0">
            <x v="9"/>
          </reference>
        </references>
      </pivotArea>
    </chartFormat>
    <chartFormat chart="0" format="11">
      <pivotArea type="data" outline="0" fieldPosition="0">
        <references count="3">
          <reference field="4294967294" count="1" selected="0">
            <x v="0"/>
          </reference>
          <reference field="2" count="1" selected="0">
            <x v="0"/>
          </reference>
          <reference field="3" count="1" selected="0">
            <x v="10"/>
          </reference>
        </references>
      </pivotArea>
    </chartFormat>
    <chartFormat chart="0" format="12">
      <pivotArea type="data" outline="0" fieldPosition="0">
        <references count="3">
          <reference field="4294967294" count="1" selected="0">
            <x v="0"/>
          </reference>
          <reference field="2" count="1" selected="0">
            <x v="0"/>
          </reference>
          <reference field="3" count="1" selected="0">
            <x v="11"/>
          </reference>
        </references>
      </pivotArea>
    </chartFormat>
    <chartFormat chart="8" format="16" series="1">
      <pivotArea type="data" outline="0" fieldPosition="0">
        <references count="1">
          <reference field="4294967294" count="1" selected="0">
            <x v="0"/>
          </reference>
        </references>
      </pivotArea>
    </chartFormat>
    <chartFormat chart="8" format="17">
      <pivotArea type="data" outline="0" fieldPosition="0">
        <references count="3">
          <reference field="4294967294" count="1" selected="0">
            <x v="0"/>
          </reference>
          <reference field="2" count="1" selected="0">
            <x v="0"/>
          </reference>
          <reference field="3" count="1" selected="0">
            <x v="0"/>
          </reference>
        </references>
      </pivotArea>
    </chartFormat>
    <chartFormat chart="8" format="18">
      <pivotArea type="data" outline="0" fieldPosition="0">
        <references count="3">
          <reference field="4294967294" count="1" selected="0">
            <x v="0"/>
          </reference>
          <reference field="2" count="1" selected="0">
            <x v="0"/>
          </reference>
          <reference field="3" count="1" selected="0">
            <x v="7"/>
          </reference>
        </references>
      </pivotArea>
    </chartFormat>
    <chartFormat chart="8" format="19">
      <pivotArea type="data" outline="0" fieldPosition="0">
        <references count="3">
          <reference field="4294967294" count="1" selected="0">
            <x v="0"/>
          </reference>
          <reference field="2" count="1" selected="0">
            <x v="0"/>
          </reference>
          <reference field="3" count="1" selected="0">
            <x v="4"/>
          </reference>
        </references>
      </pivotArea>
    </chartFormat>
  </chart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2">
    <rowHierarchyUsage hierarchyUsage="19"/>
    <rowHierarchyUsage hierarchyUsage="1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1C96722-E130-4301-A0B7-0D26709748AA}" name="PivotTable5" cacheId="3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L5:L6"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Sum of Sales" fld="0" baseField="0" baseItem="0" numFmtId="3"/>
  </dataField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E47E3FA-6A07-4156-9309-7C0C8FA0277B}" name="PivotTable3" cacheId="287" applyNumberFormats="0" applyBorderFormats="0" applyFontFormats="0" applyPatternFormats="0" applyAlignmentFormats="0" applyWidthHeightFormats="1" dataCaption="Values" tag="fad0608c-7f9e-488c-b5f1-c2e4fe818b93" updatedVersion="8" minRefreshableVersion="3" useAutoFormatting="1" subtotalHiddenItems="1" rowGrandTotals="0" colGrandTotals="0" itemPrintTitles="1" createdVersion="8" indent="0" compact="0" compactData="0" multipleFieldFilters="0">
  <location ref="D9:D10" firstHeaderRow="1" firstDataRow="1" firstDataCol="0"/>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Average of Sales" fld="0" subtotal="average" baseField="0" baseItem="0" numFmtId="4"/>
  </dataField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caption="Average of Sales"/>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6009091-3F19-49F1-8B00-99034C0C7990}" name="PivotTable2" cacheId="308" applyNumberFormats="0" applyBorderFormats="0" applyFontFormats="0" applyPatternFormats="0" applyAlignmentFormats="0" applyWidthHeightFormats="1" dataCaption="Values" updatedVersion="8" minRefreshableVersion="3" useAutoFormatting="1" subtotalHiddenItems="1" rowGrandTotals="0" colGrandTotals="0" itemPrintTitles="1" createdVersion="8" indent="0" compact="0" compactData="0" multipleFieldFilters="0">
  <location ref="B9:B10" firstHeaderRow="1" firstDataRow="1" firstDataCol="0"/>
  <pivotFields count="5">
    <pivotField dataField="1" compact="0" outline="0" subtotalTop="0" showAll="0" defaultSubtotal="0"/>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 compact="0" allDrilled="1" outline="0" subtotalTop="0" showAll="0" dataSourceSort="1" defaultSubtotal="0" defaultAttributeDrillState="1"/>
  </pivotFields>
  <rowItems count="1">
    <i/>
  </rowItems>
  <colItems count="1">
    <i/>
  </colItems>
  <dataFields count="1">
    <dataField name="Count of ID" fld="0" subtotal="count" baseField="0" baseItem="0" numFmtId="3"/>
  </dataFields>
  <formats count="1">
    <format dxfId="2">
      <pivotArea outline="0" collapsedLevelsAreSubtotals="1" fieldPosition="0"/>
    </format>
  </format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caption="Count of ID"/>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3835A1ED-90B4-4172-86F4-FD8A2E2D1ADD}" name="PivotTable4" cacheId="290" applyNumberFormats="0" applyBorderFormats="0" applyFontFormats="0" applyPatternFormats="0" applyAlignmentFormats="0" applyWidthHeightFormats="1" dataCaption="Values" tag="5487e047-0e9c-4e48-b726-fc065d05da32" updatedVersion="8" minRefreshableVersion="3" useAutoFormatting="1" subtotalHiddenItems="1" itemPrintTitles="1" createdVersion="8" indent="0" outline="1" outlineData="1" multipleFieldFilters="0">
  <location ref="F9:G13" firstHeaderRow="1" firstDataRow="1" firstDataCol="1"/>
  <pivotFields count="5">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4">
    <i>
      <x v="1"/>
    </i>
    <i>
      <x/>
    </i>
    <i>
      <x v="2"/>
    </i>
    <i t="grand">
      <x/>
    </i>
  </rowItems>
  <colItems count="1">
    <i/>
  </colItems>
  <dataFields count="1">
    <dataField name="Sum of Sales" fld="1" baseField="0" baseItem="0" numFmtId="4"/>
  </dataFields>
  <pivotHierarchies count="28">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multipleItemSelectionAllowed="1"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Book1.xlsx!Sales_Data">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E3D70A3-3377-419D-B97A-7CAC3AA3EDA7}" autoFormatId="16" applyNumberFormats="0" applyBorderFormats="0" applyFontFormats="0" applyPatternFormats="0" applyAlignmentFormats="0" applyWidthHeightFormats="0">
  <queryTableRefresh nextId="19">
    <queryTableFields count="18">
      <queryTableField id="1" name="ID" tableColumnId="1"/>
      <queryTableField id="2" name="Marital Status" tableColumnId="2"/>
      <queryTableField id="3" name="Gender" tableColumnId="3"/>
      <queryTableField id="4" name="Income" tableColumnId="4"/>
      <queryTableField id="18" dataBound="0" tableColumnId="18"/>
      <queryTableField id="5" name="Children" tableColumnId="5"/>
      <queryTableField id="6" name="Education" tableColumnId="6"/>
      <queryTableField id="7" name="Occupation" tableColumnId="7"/>
      <queryTableField id="8" name="Home Owner" tableColumnId="8"/>
      <queryTableField id="9" name="Cars" tableColumnId="9"/>
      <queryTableField id="10" name="Commute Distance" tableColumnId="10"/>
      <queryTableField id="11" name="Region" tableColumnId="11"/>
      <queryTableField id="12" name="Age" tableColumnId="12"/>
      <queryTableField id="13" name="Product Category" tableColumnId="13"/>
      <queryTableField id="14" name="Product Sub-Category" tableColumnId="14"/>
      <queryTableField id="15" name="Sales" tableColumnId="15"/>
      <queryTableField id="16" name="Month" tableColumnId="16"/>
      <queryTableField id="17" name="Order_Date"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6EB36D2B-ABFE-4062-9EAC-6867F8A73E97}" sourceName="[Sales_Data].[Region]">
  <pivotTables>
    <pivotTable tabId="3" name="PivotTable1"/>
    <pivotTable tabId="7" name="PivotTable2"/>
    <pivotTable tabId="7" name="PivotTable3"/>
    <pivotTable tabId="7" name="PivotTable4"/>
    <pivotTable tabId="4" name="PivotTable2"/>
    <pivotTable tabId="5" name="PivotTable3"/>
    <pivotTable tabId="10" name="PivotTable1"/>
    <pivotTable tabId="9" name="PivotTable4"/>
    <pivotTable tabId="7" name="PivotTable5"/>
  </pivotTables>
  <data>
    <olap pivotCacheId="703519491">
      <levels count="2">
        <level uniqueName="[Sales_Data].[Region].[(All)]" sourceCaption="(All)" count="0"/>
        <level uniqueName="[Sales_Data].[Region].[Region]" sourceCaption="Region" count="3">
          <ranges>
            <range startItem="0">
              <i n="[Sales_Data].[Region].&amp;[Europe]" c="Europe"/>
              <i n="[Sales_Data].[Region].&amp;[North America]" c="North America"/>
              <i n="[Sales_Data].[Region].&amp;[Pacific]" c="Pacific"/>
            </range>
          </ranges>
        </level>
      </levels>
      <selections count="1">
        <selection n="[Sales_Data].[Region].[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84D3C3E5-AF1B-4BB7-8FD4-CC796A169646}" sourceName="[Sales_Data].[Product Category]">
  <pivotTables>
    <pivotTable tabId="4" name="PivotTable2"/>
    <pivotTable tabId="3" name="PivotTable1"/>
    <pivotTable tabId="7" name="PivotTable2"/>
    <pivotTable tabId="7" name="PivotTable3"/>
    <pivotTable tabId="7" name="PivotTable4"/>
    <pivotTable tabId="5" name="PivotTable3"/>
    <pivotTable tabId="10" name="PivotTable1"/>
    <pivotTable tabId="9" name="PivotTable4"/>
    <pivotTable tabId="7" name="PivotTable5"/>
  </pivotTables>
  <data>
    <olap pivotCacheId="703519491">
      <levels count="2">
        <level uniqueName="[Sales_Data].[Product Category].[(All)]" sourceCaption="(All)" count="0"/>
        <level uniqueName="[Sales_Data].[Product Category].[Product Category]" sourceCaption="Product Category" count="2">
          <ranges>
            <range startItem="0">
              <i n="[Sales_Data].[Product Category].&amp;[Bike]" c="Bike"/>
              <i n="[Sales_Data].[Product Category].&amp;[Car]" c="Car"/>
            </range>
          </ranges>
        </level>
      </levels>
      <selections count="1">
        <selection n="[Sales_Data].[Product 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Sub_Category" xr10:uid="{29554C77-23DD-43E1-9521-B901977A589B}" sourceName="[Sales_Data].[Product Sub-Category]">
  <pivotTables>
    <pivotTable tabId="4" name="PivotTable2"/>
  </pivotTables>
  <data>
    <olap pivotCacheId="703519491">
      <levels count="2">
        <level uniqueName="[Sales_Data].[Product Sub-Category].[(All)]" sourceCaption="(All)" count="0"/>
        <level uniqueName="[Sales_Data].[Product Sub-Category].[Product Sub-Category]" sourceCaption="Product Sub-Category" count="10">
          <ranges>
            <range startItem="0">
              <i n="[Sales_Data].[Product Sub-Category].&amp;[Alloy Wheels]" c="Alloy Wheels"/>
              <i n="[Sales_Data].[Product Sub-Category].&amp;[Brake Kit]" c="Brake Kit"/>
              <i n="[Sales_Data].[Product Sub-Category].&amp;[Chain Sprocket]" c="Chain Sprocket"/>
              <i n="[Sales_Data].[Product Sub-Category].&amp;[Disc Brake]" c="Disc Brake"/>
              <i n="[Sales_Data].[Product Sub-Category].&amp;[Handle Grips]" c="Handle Grips"/>
              <i n="[Sales_Data].[Product Sub-Category].&amp;[LED Headlights]" c="LED Headlights"/>
              <i n="[Sales_Data].[Product Sub-Category].&amp;[LED Indicators]" c="LED Indicators"/>
              <i n="[Sales_Data].[Product Sub-Category].&amp;[Performance Exhaust]" c="Performance Exhaust"/>
              <i n="[Sales_Data].[Product Sub-Category].&amp;[Racing Exhaust]" c="Racing Exhaust"/>
              <i n="[Sales_Data].[Product Sub-Category].&amp;[Spoiler]" c="Spoiler"/>
            </range>
          </ranges>
        </level>
      </levels>
      <selections count="1">
        <selection n="[Sales_Data].[Product Sub-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er_Date__Month" xr10:uid="{447F9544-C2A3-424D-A2B3-111FC229C05A}" sourceName="[Sales_Data].[Order_Date (Month)]">
  <pivotTables>
    <pivotTable tabId="5" name="PivotTable3"/>
    <pivotTable tabId="7" name="PivotTable2"/>
    <pivotTable tabId="7" name="PivotTable3"/>
    <pivotTable tabId="7" name="PivotTable4"/>
    <pivotTable tabId="4" name="PivotTable2"/>
    <pivotTable tabId="10" name="PivotTable1"/>
    <pivotTable tabId="9" name="PivotTable4"/>
    <pivotTable tabId="3" name="PivotTable1"/>
  </pivotTables>
  <data>
    <olap pivotCacheId="703519491">
      <levels count="2">
        <level uniqueName="[Sales_Data].[Order_Date (Month)].[(All)]" sourceCaption="(All)" count="0"/>
        <level uniqueName="[Sales_Data].[Order_Date (Month)].[Order_Date (Month)]" sourceCaption="Order_Date (Month)" count="12">
          <ranges>
            <range startItem="0">
              <i n="[Sales_Data].[Order_Date (Month)].&amp;[Jan]" c="Jan"/>
              <i n="[Sales_Data].[Order_Date (Month)].&amp;[Feb]" c="Feb"/>
              <i n="[Sales_Data].[Order_Date (Month)].&amp;[Mar]" c="Mar"/>
              <i n="[Sales_Data].[Order_Date (Month)].&amp;[Apr]" c="Apr"/>
              <i n="[Sales_Data].[Order_Date (Month)].&amp;[May]" c="May"/>
              <i n="[Sales_Data].[Order_Date (Month)].&amp;[Jun]" c="Jun"/>
              <i n="[Sales_Data].[Order_Date (Month)].&amp;[Jul]" c="Jul"/>
              <i n="[Sales_Data].[Order_Date (Month)].&amp;[Aug]" c="Aug"/>
              <i n="[Sales_Data].[Order_Date (Month)].&amp;[Sep]" c="Sep"/>
              <i n="[Sales_Data].[Order_Date (Month)].&amp;[Oct]" c="Oct"/>
              <i n="[Sales_Data].[Order_Date (Month)].&amp;[Nov]" c="Nov"/>
              <i n="[Sales_Data].[Order_Date (Month)].&amp;[Dec]" c="Dec"/>
            </range>
          </ranges>
        </level>
      </levels>
      <selections count="1">
        <selection n="[Sales_Data].[Order_Date (Month)].[All]"/>
      </selections>
    </olap>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5233F5C5-1285-4620-BB3B-64FCBB2C3B2B}" sourceName="[Sales_Data].[Gender]">
  <pivotTables>
    <pivotTable tabId="10" name="PivotTable1"/>
    <pivotTable tabId="7" name="PivotTable2"/>
    <pivotTable tabId="7" name="PivotTable3"/>
    <pivotTable tabId="7" name="PivotTable4"/>
    <pivotTable tabId="4" name="PivotTable2"/>
    <pivotTable tabId="5" name="PivotTable3"/>
    <pivotTable tabId="9" name="PivotTable4"/>
    <pivotTable tabId="3" name="PivotTable1"/>
    <pivotTable tabId="7" name="PivotTable5"/>
  </pivotTables>
  <data>
    <olap pivotCacheId="703519491">
      <levels count="2">
        <level uniqueName="[Sales_Data].[Gender].[(All)]" sourceCaption="(All)" count="0"/>
        <level uniqueName="[Sales_Data].[Gender].[Gender]" sourceCaption="Gender" count="2">
          <ranges>
            <range startItem="0">
              <i n="[Sales_Data].[Gender].&amp;[F]" c="F"/>
              <i n="[Sales_Data].[Gender].&amp;[M]" c="M"/>
            </range>
          </ranges>
        </level>
      </levels>
      <selections count="1">
        <selection n="[Sales_Data].[Gend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038313B8-A242-433E-B90C-9C3BEC093A59}" cache="Slicer_Gender" caption="Gender" level="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71756E8-586A-4903-92C5-80F366794A6E}" cache="Slicer_Region" caption="Region" level="1"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Category" xr10:uid="{062486BA-7604-4748-9932-ACC55E840A0E}" cache="Slicer_Product_Category" caption="Product Category" level="1" rowHeight="234950"/>
  <slicer name="Product Sub-Category" xr10:uid="{859D21BD-15E6-4DDD-B056-DC4A4205FF80}" cache="Slicer_Product_Sub_Category" caption="Product Sub-Category" level="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rder_Date (Month)" xr10:uid="{4B91B6C7-ED0E-4FAD-99ED-2CDE7142C53E}" cache="Slicer_Order_Date__Month" caption="Order_Date (Month)" startItem="5" level="1"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2" xr10:uid="{ABD8640A-FCF4-48D6-B35A-08DFDFC432AE}" cache="Slicer_Region" caption="Region" level="1" style="SlicerStyleDark1" rowHeight="234950"/>
  <slicer name="Product Category 1" xr10:uid="{92DBDE7C-3AE6-4411-9E0F-10737699D299}" cache="Slicer_Product_Category" caption="Product Category" level="1" style="SlicerStyleDark1" rowHeight="234950"/>
  <slicer name="Order_Date (Month) 1" xr10:uid="{73CD6065-9F52-47A4-BE49-1D6F73526D81}" cache="Slicer_Order_Date__Month" caption="Order_Date (Month)" level="1" style="SlicerStyleDark1" rowHeight="234950"/>
  <slicer name="Gender 1" xr10:uid="{886507F4-DF92-4982-BD99-01D24681031E}" cache="Slicer_Gender" caption="Gender" level="1" style="SlicerStyleDark1" rowHeight="234950"/>
</slicers>
</file>

<file path=xl/slicers/slicer6.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2" xr10:uid="{87ABCC2A-710F-4C17-82E1-C228F94D5344}" cache="Slicer_Gender" caption="Gender" level="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E154685-13EF-4F37-B796-3CFD06EB3E49}" name="Sales_Data" displayName="Sales_Data" ref="A1:R1027" tableType="queryTable" totalsRowShown="0">
  <autoFilter ref="A1:R1027" xr:uid="{FE154685-13EF-4F37-B796-3CFD06EB3E49}"/>
  <sortState xmlns:xlrd2="http://schemas.microsoft.com/office/spreadsheetml/2017/richdata2" ref="A2:R1027">
    <sortCondition descending="1" ref="E1:E1027"/>
  </sortState>
  <tableColumns count="18">
    <tableColumn id="1" xr3:uid="{76FC18EC-D17C-404D-90A2-F536C14DFE6A}" uniqueName="1" name="ID" queryTableFieldId="1"/>
    <tableColumn id="2" xr3:uid="{83C11D11-14FE-4BAD-9C2C-3DDA7C04A12E}" uniqueName="2" name="Marital Status" queryTableFieldId="2" dataDxfId="13"/>
    <tableColumn id="3" xr3:uid="{A570DE22-A1E2-4157-A9FF-4AF451DDACD4}" uniqueName="3" name="Gender" queryTableFieldId="3" dataDxfId="12"/>
    <tableColumn id="4" xr3:uid="{46CB89FE-B081-4E06-B7A9-4F1855BD3398}" uniqueName="4" name="Income" queryTableFieldId="4"/>
    <tableColumn id="18" xr3:uid="{7BF57D9B-449B-49B9-81F7-5A8C0BAA8023}" uniqueName="18" name="Income Category" queryTableFieldId="18" dataDxfId="11">
      <calculatedColumnFormula>IF(Sales_Data[[#This Row],[Income]]&lt;=20000,"Low Income",IF(Sales_Data[[#This Row],[Income]]&lt;=40000,"Lower Middle",IF(Sales_Data[[#This Row],[Income]]&lt;=60000,"Middle Income",IF(Sales_Data[[#This Row],[Income]]&lt;=80000,"Upper Middle","High Income"))))</calculatedColumnFormula>
    </tableColumn>
    <tableColumn id="5" xr3:uid="{5F59440D-B567-4FCC-A78C-322CB43D38A5}" uniqueName="5" name="Children" queryTableFieldId="5"/>
    <tableColumn id="6" xr3:uid="{45421B13-0603-41FF-817D-794172B1F18B}" uniqueName="6" name="Education" queryTableFieldId="6" dataDxfId="10"/>
    <tableColumn id="7" xr3:uid="{4BD3843B-FB4A-49C8-ABA7-71F1235365C5}" uniqueName="7" name="Occupation" queryTableFieldId="7" dataDxfId="9"/>
    <tableColumn id="8" xr3:uid="{7258CBF5-F9C5-4767-9F6A-173D256DABD6}" uniqueName="8" name="Home Owner" queryTableFieldId="8" dataDxfId="8"/>
    <tableColumn id="9" xr3:uid="{A3EE3D00-0159-47D5-902B-681B06261FD1}" uniqueName="9" name="Cars" queryTableFieldId="9"/>
    <tableColumn id="10" xr3:uid="{1C2FD680-6243-474C-8FA9-7AEFEAB0118B}" uniqueName="10" name="Commute Distance" queryTableFieldId="10" dataDxfId="7"/>
    <tableColumn id="11" xr3:uid="{073D4B02-199E-448D-8564-56DF988753FE}" uniqueName="11" name="Region" queryTableFieldId="11" dataDxfId="6"/>
    <tableColumn id="12" xr3:uid="{0E7E7520-BAF1-4E8E-B57D-2D20F2BC1A80}" uniqueName="12" name="Age" queryTableFieldId="12"/>
    <tableColumn id="13" xr3:uid="{CE55969B-B3E5-414B-818C-9B96D1758BC8}" uniqueName="13" name="Product Category" queryTableFieldId="13" dataDxfId="5"/>
    <tableColumn id="14" xr3:uid="{E01333A0-D4E0-4DB3-8CE5-4C030A674805}" uniqueName="14" name="Product Sub-Category" queryTableFieldId="14" dataDxfId="4"/>
    <tableColumn id="15" xr3:uid="{E3CA6D58-CC03-463F-868A-261C21DC49AE}" uniqueName="15" name="Sales" queryTableFieldId="15" dataDxfId="1"/>
    <tableColumn id="16" xr3:uid="{C83D22D3-0D46-4A9D-AF9F-4CD7FB6AFC40}" uniqueName="16" name="Month" queryTableFieldId="16" dataDxfId="3"/>
    <tableColumn id="17" xr3:uid="{5C17CA1F-40D6-4BCE-A8EF-3FD43AE778D3}" uniqueName="17" name="Order_Date" queryTableFieldId="17"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drawing" Target="../drawings/drawing6.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3" Type="http://schemas.openxmlformats.org/officeDocument/2006/relationships/pivotTable" Target="../pivotTables/pivotTable8.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microsoft.com/office/2007/relationships/slicer" Target="../slicers/slicer6.xml"/><Relationship Id="rId5" Type="http://schemas.openxmlformats.org/officeDocument/2006/relationships/drawing" Target="../drawings/drawing7.xml"/><Relationship Id="rId4" Type="http://schemas.openxmlformats.org/officeDocument/2006/relationships/pivotTable" Target="../pivotTables/pivot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07B27-81E8-439F-8AE8-59B1CCF3FD99}">
  <sheetPr codeName="Sheet5"/>
  <dimension ref="A3:B9"/>
  <sheetViews>
    <sheetView workbookViewId="0">
      <selection activeCell="B17" sqref="B17"/>
    </sheetView>
  </sheetViews>
  <sheetFormatPr defaultRowHeight="14.4" x14ac:dyDescent="0.3"/>
  <cols>
    <col min="1" max="1" width="13.21875" bestFit="1" customWidth="1"/>
    <col min="2" max="2" width="11.6640625" bestFit="1" customWidth="1"/>
  </cols>
  <sheetData>
    <row r="3" spans="1:2" x14ac:dyDescent="0.3">
      <c r="A3" s="3" t="s">
        <v>64</v>
      </c>
      <c r="B3" t="s">
        <v>66</v>
      </c>
    </row>
    <row r="4" spans="1:2" x14ac:dyDescent="0.3">
      <c r="A4" s="4" t="s">
        <v>71</v>
      </c>
      <c r="B4" s="8">
        <v>726451.64</v>
      </c>
    </row>
    <row r="5" spans="1:2" x14ac:dyDescent="0.3">
      <c r="A5" s="4" t="s">
        <v>72</v>
      </c>
      <c r="B5" s="8">
        <v>786059.44</v>
      </c>
    </row>
    <row r="6" spans="1:2" x14ac:dyDescent="0.3">
      <c r="A6" s="4" t="s">
        <v>73</v>
      </c>
      <c r="B6" s="8">
        <v>1488308.65</v>
      </c>
    </row>
    <row r="7" spans="1:2" x14ac:dyDescent="0.3">
      <c r="A7" s="4" t="s">
        <v>74</v>
      </c>
      <c r="B7" s="8">
        <v>1086613.05</v>
      </c>
    </row>
    <row r="8" spans="1:2" x14ac:dyDescent="0.3">
      <c r="A8" s="4" t="s">
        <v>75</v>
      </c>
      <c r="B8" s="8">
        <v>1127335.1399999999</v>
      </c>
    </row>
    <row r="9" spans="1:2" x14ac:dyDescent="0.3">
      <c r="A9" s="4" t="s">
        <v>65</v>
      </c>
      <c r="B9" s="8">
        <v>5214767.92</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C57D4-1286-41A7-B123-14762FCBD8DD}">
  <sheetPr codeName="Sheet6"/>
  <dimension ref="A3:B6"/>
  <sheetViews>
    <sheetView workbookViewId="0">
      <selection activeCell="B20" sqref="B20"/>
    </sheetView>
  </sheetViews>
  <sheetFormatPr defaultRowHeight="14.4" x14ac:dyDescent="0.3"/>
  <cols>
    <col min="1" max="1" width="12.5546875" bestFit="1" customWidth="1"/>
    <col min="2" max="2" width="11.6640625" bestFit="1" customWidth="1"/>
  </cols>
  <sheetData>
    <row r="3" spans="1:2" x14ac:dyDescent="0.3">
      <c r="A3" s="3" t="s">
        <v>64</v>
      </c>
      <c r="B3" t="s">
        <v>66</v>
      </c>
    </row>
    <row r="4" spans="1:2" x14ac:dyDescent="0.3">
      <c r="A4" s="4" t="s">
        <v>18</v>
      </c>
      <c r="B4" s="8">
        <v>2490629.13</v>
      </c>
    </row>
    <row r="5" spans="1:2" x14ac:dyDescent="0.3">
      <c r="A5" s="4" t="s">
        <v>17</v>
      </c>
      <c r="B5" s="8">
        <v>2724138.79</v>
      </c>
    </row>
    <row r="6" spans="1:2" x14ac:dyDescent="0.3">
      <c r="A6" s="4" t="s">
        <v>65</v>
      </c>
      <c r="B6" s="8">
        <v>5214767.92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25583-AD65-41C2-A385-A0F89B381F50}">
  <sheetPr codeName="Sheet2"/>
  <dimension ref="A1:S1027"/>
  <sheetViews>
    <sheetView workbookViewId="0">
      <selection sqref="A1:R1027"/>
    </sheetView>
  </sheetViews>
  <sheetFormatPr defaultRowHeight="14.4" x14ac:dyDescent="0.3"/>
  <cols>
    <col min="1" max="1" width="6" customWidth="1"/>
    <col min="2" max="2" width="14.88671875" bestFit="1" customWidth="1"/>
    <col min="3" max="3" width="9.33203125" bestFit="1" customWidth="1"/>
    <col min="4" max="4" width="9.5546875" bestFit="1" customWidth="1"/>
    <col min="5" max="5" width="17.6640625" bestFit="1" customWidth="1"/>
    <col min="6" max="6" width="10.21875" bestFit="1" customWidth="1"/>
    <col min="7" max="7" width="16.21875" bestFit="1" customWidth="1"/>
    <col min="8" max="8" width="12.88671875" bestFit="1" customWidth="1"/>
    <col min="9" max="9" width="14.21875" bestFit="1" customWidth="1"/>
    <col min="10" max="10" width="6.77734375" bestFit="1" customWidth="1"/>
    <col min="11" max="11" width="19.21875" bestFit="1" customWidth="1"/>
    <col min="12" max="12" width="12.88671875" customWidth="1"/>
    <col min="13" max="13" width="6.44140625" bestFit="1" customWidth="1"/>
    <col min="14" max="14" width="18" bestFit="1" customWidth="1"/>
    <col min="15" max="15" width="22" bestFit="1" customWidth="1"/>
    <col min="16" max="16" width="8" style="2" customWidth="1"/>
    <col min="17" max="17" width="9.77734375" customWidth="1"/>
    <col min="18" max="18" width="12.88671875" bestFit="1" customWidth="1"/>
    <col min="19" max="19" width="14.88671875" customWidth="1"/>
  </cols>
  <sheetData>
    <row r="1" spans="1:19" x14ac:dyDescent="0.3">
      <c r="A1" t="s">
        <v>0</v>
      </c>
      <c r="B1" t="s">
        <v>1</v>
      </c>
      <c r="C1" t="s">
        <v>2</v>
      </c>
      <c r="D1" t="s">
        <v>3</v>
      </c>
      <c r="E1" t="s">
        <v>70</v>
      </c>
      <c r="F1" t="s">
        <v>4</v>
      </c>
      <c r="G1" t="s">
        <v>5</v>
      </c>
      <c r="H1" t="s">
        <v>6</v>
      </c>
      <c r="I1" t="s">
        <v>7</v>
      </c>
      <c r="J1" t="s">
        <v>8</v>
      </c>
      <c r="K1" t="s">
        <v>9</v>
      </c>
      <c r="L1" t="s">
        <v>10</v>
      </c>
      <c r="M1" t="s">
        <v>11</v>
      </c>
      <c r="N1" t="s">
        <v>12</v>
      </c>
      <c r="O1" t="s">
        <v>13</v>
      </c>
      <c r="P1" s="2" t="s">
        <v>14</v>
      </c>
      <c r="Q1" t="s">
        <v>15</v>
      </c>
      <c r="R1" t="s">
        <v>16</v>
      </c>
    </row>
    <row r="2" spans="1:19" x14ac:dyDescent="0.3">
      <c r="A2">
        <v>14177</v>
      </c>
      <c r="B2" t="s">
        <v>17</v>
      </c>
      <c r="C2" t="s">
        <v>17</v>
      </c>
      <c r="D2">
        <v>80000</v>
      </c>
      <c r="E2" t="str">
        <f>IF(Sales_Data[[#This Row],[Income]]&lt;=20000,"Low Income",IF(Sales_Data[[#This Row],[Income]]&lt;=40000,"Lower Middle",IF(Sales_Data[[#This Row],[Income]]&lt;=60000,"Middle Income",IF(Sales_Data[[#This Row],[Income]]&lt;=80000,"Upper Middle","High Income"))))</f>
        <v>Upper Middle</v>
      </c>
      <c r="F2">
        <v>5</v>
      </c>
      <c r="G2" t="s">
        <v>27</v>
      </c>
      <c r="H2" t="s">
        <v>31</v>
      </c>
      <c r="I2" t="s">
        <v>32</v>
      </c>
      <c r="J2">
        <v>2</v>
      </c>
      <c r="K2" t="s">
        <v>33</v>
      </c>
      <c r="L2" t="s">
        <v>23</v>
      </c>
      <c r="M2">
        <v>60</v>
      </c>
      <c r="N2" t="s">
        <v>24</v>
      </c>
      <c r="O2" t="s">
        <v>34</v>
      </c>
      <c r="P2" s="2">
        <v>5043.8100000000004</v>
      </c>
      <c r="Q2" t="s">
        <v>26</v>
      </c>
      <c r="R2" s="1">
        <v>45287</v>
      </c>
      <c r="S2" s="1"/>
    </row>
    <row r="3" spans="1:19" x14ac:dyDescent="0.3">
      <c r="A3">
        <v>24381</v>
      </c>
      <c r="B3" t="s">
        <v>35</v>
      </c>
      <c r="C3" t="s">
        <v>17</v>
      </c>
      <c r="D3">
        <v>70000</v>
      </c>
      <c r="E3" t="str">
        <f>IF(Sales_Data[[#This Row],[Income]]&lt;=20000,"Low Income",IF(Sales_Data[[#This Row],[Income]]&lt;=40000,"Lower Middle",IF(Sales_Data[[#This Row],[Income]]&lt;=60000,"Middle Income",IF(Sales_Data[[#This Row],[Income]]&lt;=80000,"Upper Middle","High Income"))))</f>
        <v>Upper Middle</v>
      </c>
      <c r="F3">
        <v>0</v>
      </c>
      <c r="G3" t="s">
        <v>19</v>
      </c>
      <c r="H3" t="s">
        <v>31</v>
      </c>
      <c r="I3" t="s">
        <v>21</v>
      </c>
      <c r="J3">
        <v>1</v>
      </c>
      <c r="K3" t="s">
        <v>36</v>
      </c>
      <c r="L3" t="s">
        <v>37</v>
      </c>
      <c r="M3">
        <v>41</v>
      </c>
      <c r="N3" t="s">
        <v>38</v>
      </c>
      <c r="O3" t="s">
        <v>39</v>
      </c>
      <c r="P3" s="2">
        <v>7960.62</v>
      </c>
      <c r="Q3" t="s">
        <v>40</v>
      </c>
      <c r="R3" s="1">
        <v>45057</v>
      </c>
      <c r="S3" s="1"/>
    </row>
    <row r="4" spans="1:19" x14ac:dyDescent="0.3">
      <c r="A4">
        <v>21564</v>
      </c>
      <c r="B4" t="s">
        <v>35</v>
      </c>
      <c r="C4" t="s">
        <v>18</v>
      </c>
      <c r="D4">
        <v>80000</v>
      </c>
      <c r="E4" t="str">
        <f>IF(Sales_Data[[#This Row],[Income]]&lt;=20000,"Low Income",IF(Sales_Data[[#This Row],[Income]]&lt;=40000,"Lower Middle",IF(Sales_Data[[#This Row],[Income]]&lt;=60000,"Middle Income",IF(Sales_Data[[#This Row],[Income]]&lt;=80000,"Upper Middle","High Income"))))</f>
        <v>Upper Middle</v>
      </c>
      <c r="F4">
        <v>0</v>
      </c>
      <c r="G4" t="s">
        <v>19</v>
      </c>
      <c r="H4" t="s">
        <v>31</v>
      </c>
      <c r="I4" t="s">
        <v>21</v>
      </c>
      <c r="J4">
        <v>4</v>
      </c>
      <c r="K4" t="s">
        <v>53</v>
      </c>
      <c r="L4" t="s">
        <v>37</v>
      </c>
      <c r="M4">
        <v>35</v>
      </c>
      <c r="N4" t="s">
        <v>24</v>
      </c>
      <c r="O4" t="s">
        <v>34</v>
      </c>
      <c r="P4" s="2">
        <v>8869.8700000000008</v>
      </c>
      <c r="Q4" t="s">
        <v>48</v>
      </c>
      <c r="R4" s="1">
        <v>45146</v>
      </c>
      <c r="S4" s="1"/>
    </row>
    <row r="5" spans="1:19" x14ac:dyDescent="0.3">
      <c r="A5">
        <v>26412</v>
      </c>
      <c r="B5" t="s">
        <v>17</v>
      </c>
      <c r="C5" t="s">
        <v>18</v>
      </c>
      <c r="D5">
        <v>80000</v>
      </c>
      <c r="E5" t="str">
        <f>IF(Sales_Data[[#This Row],[Income]]&lt;=20000,"Low Income",IF(Sales_Data[[#This Row],[Income]]&lt;=40000,"Lower Middle",IF(Sales_Data[[#This Row],[Income]]&lt;=60000,"Middle Income",IF(Sales_Data[[#This Row],[Income]]&lt;=80000,"Upper Middle","High Income"))))</f>
        <v>Upper Middle</v>
      </c>
      <c r="F5">
        <v>5</v>
      </c>
      <c r="G5" t="s">
        <v>45</v>
      </c>
      <c r="H5" t="s">
        <v>46</v>
      </c>
      <c r="I5" t="s">
        <v>32</v>
      </c>
      <c r="J5">
        <v>3</v>
      </c>
      <c r="K5" t="s">
        <v>36</v>
      </c>
      <c r="L5" t="s">
        <v>23</v>
      </c>
      <c r="M5">
        <v>56</v>
      </c>
      <c r="N5" t="s">
        <v>24</v>
      </c>
      <c r="O5" t="s">
        <v>34</v>
      </c>
      <c r="P5" s="2">
        <v>5079.22</v>
      </c>
      <c r="Q5" t="s">
        <v>48</v>
      </c>
      <c r="R5" s="1">
        <v>45165</v>
      </c>
      <c r="S5" s="1"/>
    </row>
    <row r="6" spans="1:19" x14ac:dyDescent="0.3">
      <c r="A6">
        <v>18299</v>
      </c>
      <c r="B6" t="s">
        <v>17</v>
      </c>
      <c r="C6" t="s">
        <v>17</v>
      </c>
      <c r="D6">
        <v>70000</v>
      </c>
      <c r="E6" t="str">
        <f>IF(Sales_Data[[#This Row],[Income]]&lt;=20000,"Low Income",IF(Sales_Data[[#This Row],[Income]]&lt;=40000,"Lower Middle",IF(Sales_Data[[#This Row],[Income]]&lt;=60000,"Middle Income",IF(Sales_Data[[#This Row],[Income]]&lt;=80000,"Upper Middle","High Income"))))</f>
        <v>Upper Middle</v>
      </c>
      <c r="F6">
        <v>5</v>
      </c>
      <c r="G6" t="s">
        <v>27</v>
      </c>
      <c r="H6" t="s">
        <v>20</v>
      </c>
      <c r="I6" t="s">
        <v>21</v>
      </c>
      <c r="J6">
        <v>2</v>
      </c>
      <c r="K6" t="s">
        <v>36</v>
      </c>
      <c r="L6" t="s">
        <v>37</v>
      </c>
      <c r="M6">
        <v>44</v>
      </c>
      <c r="N6" t="s">
        <v>38</v>
      </c>
      <c r="O6" t="s">
        <v>62</v>
      </c>
      <c r="P6" s="2">
        <v>3389.48</v>
      </c>
      <c r="Q6" t="s">
        <v>44</v>
      </c>
      <c r="R6" s="1">
        <v>44939</v>
      </c>
      <c r="S6" s="1"/>
    </row>
    <row r="7" spans="1:19" x14ac:dyDescent="0.3">
      <c r="A7">
        <v>18484</v>
      </c>
      <c r="B7" t="s">
        <v>35</v>
      </c>
      <c r="C7" t="s">
        <v>17</v>
      </c>
      <c r="D7">
        <v>80000</v>
      </c>
      <c r="E7" t="str">
        <f>IF(Sales_Data[[#This Row],[Income]]&lt;=20000,"Low Income",IF(Sales_Data[[#This Row],[Income]]&lt;=40000,"Lower Middle",IF(Sales_Data[[#This Row],[Income]]&lt;=60000,"Middle Income",IF(Sales_Data[[#This Row],[Income]]&lt;=80000,"Upper Middle","High Income"))))</f>
        <v>Upper Middle</v>
      </c>
      <c r="F7">
        <v>2</v>
      </c>
      <c r="G7" t="s">
        <v>45</v>
      </c>
      <c r="H7" t="s">
        <v>20</v>
      </c>
      <c r="I7" t="s">
        <v>32</v>
      </c>
      <c r="J7">
        <v>2</v>
      </c>
      <c r="K7" t="s">
        <v>43</v>
      </c>
      <c r="L7" t="s">
        <v>37</v>
      </c>
      <c r="M7">
        <v>50</v>
      </c>
      <c r="N7" t="s">
        <v>24</v>
      </c>
      <c r="O7" t="s">
        <v>55</v>
      </c>
      <c r="P7" s="2">
        <v>5645.54</v>
      </c>
      <c r="Q7" t="s">
        <v>59</v>
      </c>
      <c r="R7" s="1">
        <v>45024</v>
      </c>
      <c r="S7" s="1"/>
    </row>
    <row r="8" spans="1:19" x14ac:dyDescent="0.3">
      <c r="A8">
        <v>20619</v>
      </c>
      <c r="B8" t="s">
        <v>35</v>
      </c>
      <c r="C8" t="s">
        <v>17</v>
      </c>
      <c r="D8">
        <v>80000</v>
      </c>
      <c r="E8" t="str">
        <f>IF(Sales_Data[[#This Row],[Income]]&lt;=20000,"Low Income",IF(Sales_Data[[#This Row],[Income]]&lt;=40000,"Lower Middle",IF(Sales_Data[[#This Row],[Income]]&lt;=60000,"Middle Income",IF(Sales_Data[[#This Row],[Income]]&lt;=80000,"Upper Middle","High Income"))))</f>
        <v>Upper Middle</v>
      </c>
      <c r="F8">
        <v>0</v>
      </c>
      <c r="G8" t="s">
        <v>19</v>
      </c>
      <c r="H8" t="s">
        <v>31</v>
      </c>
      <c r="I8" t="s">
        <v>32</v>
      </c>
      <c r="J8">
        <v>4</v>
      </c>
      <c r="K8" t="s">
        <v>53</v>
      </c>
      <c r="L8" t="s">
        <v>37</v>
      </c>
      <c r="M8">
        <v>35</v>
      </c>
      <c r="N8" t="s">
        <v>38</v>
      </c>
      <c r="O8" t="s">
        <v>39</v>
      </c>
      <c r="P8" s="2">
        <v>1542.85</v>
      </c>
      <c r="Q8" t="s">
        <v>44</v>
      </c>
      <c r="R8" s="1">
        <v>44941</v>
      </c>
      <c r="S8" s="1"/>
    </row>
    <row r="9" spans="1:19" x14ac:dyDescent="0.3">
      <c r="A9">
        <v>17319</v>
      </c>
      <c r="B9" t="s">
        <v>35</v>
      </c>
      <c r="C9" t="s">
        <v>18</v>
      </c>
      <c r="D9">
        <v>70000</v>
      </c>
      <c r="E9" t="str">
        <f>IF(Sales_Data[[#This Row],[Income]]&lt;=20000,"Low Income",IF(Sales_Data[[#This Row],[Income]]&lt;=40000,"Lower Middle",IF(Sales_Data[[#This Row],[Income]]&lt;=60000,"Middle Income",IF(Sales_Data[[#This Row],[Income]]&lt;=80000,"Upper Middle","High Income"))))</f>
        <v>Upper Middle</v>
      </c>
      <c r="F9">
        <v>0</v>
      </c>
      <c r="G9" t="s">
        <v>19</v>
      </c>
      <c r="H9" t="s">
        <v>31</v>
      </c>
      <c r="I9" t="s">
        <v>32</v>
      </c>
      <c r="J9">
        <v>1</v>
      </c>
      <c r="K9" t="s">
        <v>36</v>
      </c>
      <c r="L9" t="s">
        <v>37</v>
      </c>
      <c r="M9">
        <v>42</v>
      </c>
      <c r="N9" t="s">
        <v>24</v>
      </c>
      <c r="O9" t="s">
        <v>55</v>
      </c>
      <c r="P9" s="2">
        <v>8010.63</v>
      </c>
      <c r="Q9" t="s">
        <v>52</v>
      </c>
      <c r="R9" s="1">
        <v>44972</v>
      </c>
      <c r="S9" s="1"/>
    </row>
    <row r="10" spans="1:19" x14ac:dyDescent="0.3">
      <c r="A10">
        <v>28906</v>
      </c>
      <c r="B10" t="s">
        <v>17</v>
      </c>
      <c r="C10" t="s">
        <v>17</v>
      </c>
      <c r="D10">
        <v>80000</v>
      </c>
      <c r="E10" t="str">
        <f>IF(Sales_Data[[#This Row],[Income]]&lt;=20000,"Low Income",IF(Sales_Data[[#This Row],[Income]]&lt;=40000,"Lower Middle",IF(Sales_Data[[#This Row],[Income]]&lt;=60000,"Middle Income",IF(Sales_Data[[#This Row],[Income]]&lt;=80000,"Upper Middle","High Income"))))</f>
        <v>Upper Middle</v>
      </c>
      <c r="F10">
        <v>4</v>
      </c>
      <c r="G10" t="s">
        <v>45</v>
      </c>
      <c r="H10" t="s">
        <v>31</v>
      </c>
      <c r="I10" t="s">
        <v>21</v>
      </c>
      <c r="J10">
        <v>2</v>
      </c>
      <c r="K10" t="s">
        <v>53</v>
      </c>
      <c r="L10" t="s">
        <v>23</v>
      </c>
      <c r="M10">
        <v>54</v>
      </c>
      <c r="N10" t="s">
        <v>38</v>
      </c>
      <c r="O10" t="s">
        <v>62</v>
      </c>
      <c r="P10" s="2">
        <v>1292.24</v>
      </c>
      <c r="Q10" t="s">
        <v>59</v>
      </c>
      <c r="R10" s="1">
        <v>45031</v>
      </c>
      <c r="S10" s="1"/>
    </row>
    <row r="11" spans="1:19" x14ac:dyDescent="0.3">
      <c r="A11">
        <v>27969</v>
      </c>
      <c r="B11" t="s">
        <v>17</v>
      </c>
      <c r="C11" t="s">
        <v>17</v>
      </c>
      <c r="D11">
        <v>80000</v>
      </c>
      <c r="E11" t="str">
        <f>IF(Sales_Data[[#This Row],[Income]]&lt;=20000,"Low Income",IF(Sales_Data[[#This Row],[Income]]&lt;=40000,"Lower Middle",IF(Sales_Data[[#This Row],[Income]]&lt;=60000,"Middle Income",IF(Sales_Data[[#This Row],[Income]]&lt;=80000,"Upper Middle","High Income"))))</f>
        <v>Upper Middle</v>
      </c>
      <c r="F11">
        <v>0</v>
      </c>
      <c r="G11" t="s">
        <v>19</v>
      </c>
      <c r="H11" t="s">
        <v>31</v>
      </c>
      <c r="I11" t="s">
        <v>21</v>
      </c>
      <c r="J11">
        <v>2</v>
      </c>
      <c r="K11" t="s">
        <v>53</v>
      </c>
      <c r="L11" t="s">
        <v>37</v>
      </c>
      <c r="M11">
        <v>29</v>
      </c>
      <c r="N11" t="s">
        <v>38</v>
      </c>
      <c r="O11" t="s">
        <v>47</v>
      </c>
      <c r="P11" s="2">
        <v>6367.43</v>
      </c>
      <c r="Q11" t="s">
        <v>60</v>
      </c>
      <c r="R11" s="1">
        <v>45260</v>
      </c>
      <c r="S11" s="1"/>
    </row>
    <row r="12" spans="1:19" x14ac:dyDescent="0.3">
      <c r="A12">
        <v>15752</v>
      </c>
      <c r="B12" t="s">
        <v>17</v>
      </c>
      <c r="C12" t="s">
        <v>17</v>
      </c>
      <c r="D12">
        <v>80000</v>
      </c>
      <c r="E12" t="str">
        <f>IF(Sales_Data[[#This Row],[Income]]&lt;=20000,"Low Income",IF(Sales_Data[[#This Row],[Income]]&lt;=40000,"Lower Middle",IF(Sales_Data[[#This Row],[Income]]&lt;=60000,"Middle Income",IF(Sales_Data[[#This Row],[Income]]&lt;=80000,"Upper Middle","High Income"))))</f>
        <v>Upper Middle</v>
      </c>
      <c r="F12">
        <v>2</v>
      </c>
      <c r="G12" t="s">
        <v>45</v>
      </c>
      <c r="H12" t="s">
        <v>20</v>
      </c>
      <c r="I12" t="s">
        <v>32</v>
      </c>
      <c r="J12">
        <v>2</v>
      </c>
      <c r="K12" t="s">
        <v>43</v>
      </c>
      <c r="L12" t="s">
        <v>37</v>
      </c>
      <c r="M12">
        <v>50</v>
      </c>
      <c r="N12" t="s">
        <v>38</v>
      </c>
      <c r="O12" t="s">
        <v>54</v>
      </c>
      <c r="P12" s="2">
        <v>4811.71</v>
      </c>
      <c r="Q12" t="s">
        <v>58</v>
      </c>
      <c r="R12" s="1">
        <v>45130</v>
      </c>
      <c r="S12" s="1"/>
    </row>
    <row r="13" spans="1:19" x14ac:dyDescent="0.3">
      <c r="A13">
        <v>19608</v>
      </c>
      <c r="B13" t="s">
        <v>17</v>
      </c>
      <c r="C13" t="s">
        <v>17</v>
      </c>
      <c r="D13">
        <v>80000</v>
      </c>
      <c r="E13" t="str">
        <f>IF(Sales_Data[[#This Row],[Income]]&lt;=20000,"Low Income",IF(Sales_Data[[#This Row],[Income]]&lt;=40000,"Lower Middle",IF(Sales_Data[[#This Row],[Income]]&lt;=60000,"Middle Income",IF(Sales_Data[[#This Row],[Income]]&lt;=80000,"Upper Middle","High Income"))))</f>
        <v>Upper Middle</v>
      </c>
      <c r="F13">
        <v>5</v>
      </c>
      <c r="G13" t="s">
        <v>19</v>
      </c>
      <c r="H13" t="s">
        <v>31</v>
      </c>
      <c r="I13" t="s">
        <v>21</v>
      </c>
      <c r="J13">
        <v>4</v>
      </c>
      <c r="K13" t="s">
        <v>43</v>
      </c>
      <c r="L13" t="s">
        <v>37</v>
      </c>
      <c r="M13">
        <v>40</v>
      </c>
      <c r="N13" t="s">
        <v>24</v>
      </c>
      <c r="O13" t="s">
        <v>25</v>
      </c>
      <c r="P13" s="2">
        <v>3505.62</v>
      </c>
      <c r="Q13" t="s">
        <v>44</v>
      </c>
      <c r="R13" s="1">
        <v>44931</v>
      </c>
      <c r="S13" s="1"/>
    </row>
    <row r="14" spans="1:19" x14ac:dyDescent="0.3">
      <c r="A14">
        <v>18491</v>
      </c>
      <c r="B14" t="s">
        <v>35</v>
      </c>
      <c r="C14" t="s">
        <v>18</v>
      </c>
      <c r="D14">
        <v>70000</v>
      </c>
      <c r="E14" t="str">
        <f>IF(Sales_Data[[#This Row],[Income]]&lt;=20000,"Low Income",IF(Sales_Data[[#This Row],[Income]]&lt;=40000,"Lower Middle",IF(Sales_Data[[#This Row],[Income]]&lt;=60000,"Middle Income",IF(Sales_Data[[#This Row],[Income]]&lt;=80000,"Upper Middle","High Income"))))</f>
        <v>Upper Middle</v>
      </c>
      <c r="F14">
        <v>2</v>
      </c>
      <c r="G14" t="s">
        <v>45</v>
      </c>
      <c r="H14" t="s">
        <v>31</v>
      </c>
      <c r="I14" t="s">
        <v>21</v>
      </c>
      <c r="J14">
        <v>2</v>
      </c>
      <c r="K14" t="s">
        <v>36</v>
      </c>
      <c r="L14" t="s">
        <v>37</v>
      </c>
      <c r="M14">
        <v>49</v>
      </c>
      <c r="N14" t="s">
        <v>38</v>
      </c>
      <c r="O14" t="s">
        <v>54</v>
      </c>
      <c r="P14" s="2">
        <v>9547.4599999999991</v>
      </c>
      <c r="Q14" t="s">
        <v>44</v>
      </c>
      <c r="R14" s="1">
        <v>44947</v>
      </c>
      <c r="S14" s="1"/>
    </row>
    <row r="15" spans="1:19" x14ac:dyDescent="0.3">
      <c r="A15">
        <v>20430</v>
      </c>
      <c r="B15" t="s">
        <v>17</v>
      </c>
      <c r="C15" t="s">
        <v>17</v>
      </c>
      <c r="D15">
        <v>70000</v>
      </c>
      <c r="E15" t="str">
        <f>IF(Sales_Data[[#This Row],[Income]]&lt;=20000,"Low Income",IF(Sales_Data[[#This Row],[Income]]&lt;=40000,"Lower Middle",IF(Sales_Data[[#This Row],[Income]]&lt;=60000,"Middle Income",IF(Sales_Data[[#This Row],[Income]]&lt;=80000,"Upper Middle","High Income"))))</f>
        <v>Upper Middle</v>
      </c>
      <c r="F15">
        <v>2</v>
      </c>
      <c r="G15" t="s">
        <v>27</v>
      </c>
      <c r="H15" t="s">
        <v>20</v>
      </c>
      <c r="I15" t="s">
        <v>21</v>
      </c>
      <c r="J15">
        <v>2</v>
      </c>
      <c r="K15" t="s">
        <v>36</v>
      </c>
      <c r="L15" t="s">
        <v>37</v>
      </c>
      <c r="M15">
        <v>52</v>
      </c>
      <c r="N15" t="s">
        <v>38</v>
      </c>
      <c r="O15" t="s">
        <v>62</v>
      </c>
      <c r="P15" s="2">
        <v>8791.7199999999993</v>
      </c>
      <c r="Q15" t="s">
        <v>26</v>
      </c>
      <c r="R15" s="1">
        <v>45275</v>
      </c>
      <c r="S15" s="1"/>
    </row>
    <row r="16" spans="1:19" x14ac:dyDescent="0.3">
      <c r="A16">
        <v>14682</v>
      </c>
      <c r="B16" t="s">
        <v>35</v>
      </c>
      <c r="C16" t="s">
        <v>18</v>
      </c>
      <c r="D16">
        <v>70000</v>
      </c>
      <c r="E16" t="str">
        <f>IF(Sales_Data[[#This Row],[Income]]&lt;=20000,"Low Income",IF(Sales_Data[[#This Row],[Income]]&lt;=40000,"Lower Middle",IF(Sales_Data[[#This Row],[Income]]&lt;=60000,"Middle Income",IF(Sales_Data[[#This Row],[Income]]&lt;=80000,"Upper Middle","High Income"))))</f>
        <v>Upper Middle</v>
      </c>
      <c r="F16">
        <v>0</v>
      </c>
      <c r="G16" t="s">
        <v>19</v>
      </c>
      <c r="H16" t="s">
        <v>31</v>
      </c>
      <c r="I16" t="s">
        <v>32</v>
      </c>
      <c r="J16">
        <v>1</v>
      </c>
      <c r="K16" t="s">
        <v>36</v>
      </c>
      <c r="L16" t="s">
        <v>37</v>
      </c>
      <c r="M16">
        <v>38</v>
      </c>
      <c r="N16" t="s">
        <v>38</v>
      </c>
      <c r="O16" t="s">
        <v>39</v>
      </c>
      <c r="P16" s="2">
        <v>5465.05</v>
      </c>
      <c r="Q16" t="s">
        <v>48</v>
      </c>
      <c r="R16" s="1">
        <v>45153</v>
      </c>
      <c r="S16" s="1"/>
    </row>
    <row r="17" spans="1:19" x14ac:dyDescent="0.3">
      <c r="A17">
        <v>19914</v>
      </c>
      <c r="B17" t="s">
        <v>17</v>
      </c>
      <c r="C17" t="s">
        <v>17</v>
      </c>
      <c r="D17">
        <v>80000</v>
      </c>
      <c r="E17" t="str">
        <f>IF(Sales_Data[[#This Row],[Income]]&lt;=20000,"Low Income",IF(Sales_Data[[#This Row],[Income]]&lt;=40000,"Lower Middle",IF(Sales_Data[[#This Row],[Income]]&lt;=60000,"Middle Income",IF(Sales_Data[[#This Row],[Income]]&lt;=80000,"Upper Middle","High Income"))))</f>
        <v>Upper Middle</v>
      </c>
      <c r="F17">
        <v>5</v>
      </c>
      <c r="G17" t="s">
        <v>19</v>
      </c>
      <c r="H17" t="s">
        <v>46</v>
      </c>
      <c r="I17" t="s">
        <v>21</v>
      </c>
      <c r="J17">
        <v>2</v>
      </c>
      <c r="K17" t="s">
        <v>33</v>
      </c>
      <c r="L17" t="s">
        <v>23</v>
      </c>
      <c r="M17">
        <v>62</v>
      </c>
      <c r="N17" t="s">
        <v>38</v>
      </c>
      <c r="O17" t="s">
        <v>62</v>
      </c>
      <c r="P17" s="2">
        <v>9606.6</v>
      </c>
      <c r="Q17" t="s">
        <v>58</v>
      </c>
      <c r="R17" s="1">
        <v>45134</v>
      </c>
      <c r="S17" s="1"/>
    </row>
    <row r="18" spans="1:19" x14ac:dyDescent="0.3">
      <c r="A18">
        <v>12344</v>
      </c>
      <c r="B18" t="s">
        <v>35</v>
      </c>
      <c r="C18" t="s">
        <v>18</v>
      </c>
      <c r="D18">
        <v>80000</v>
      </c>
      <c r="E18" t="str">
        <f>IF(Sales_Data[[#This Row],[Income]]&lt;=20000,"Low Income",IF(Sales_Data[[#This Row],[Income]]&lt;=40000,"Lower Middle",IF(Sales_Data[[#This Row],[Income]]&lt;=60000,"Middle Income",IF(Sales_Data[[#This Row],[Income]]&lt;=80000,"Upper Middle","High Income"))))</f>
        <v>Upper Middle</v>
      </c>
      <c r="F18">
        <v>0</v>
      </c>
      <c r="G18" t="s">
        <v>19</v>
      </c>
      <c r="H18" t="s">
        <v>31</v>
      </c>
      <c r="I18" t="s">
        <v>32</v>
      </c>
      <c r="J18">
        <v>3</v>
      </c>
      <c r="K18" t="s">
        <v>53</v>
      </c>
      <c r="L18" t="s">
        <v>37</v>
      </c>
      <c r="M18">
        <v>31</v>
      </c>
      <c r="N18" t="s">
        <v>24</v>
      </c>
      <c r="O18" t="s">
        <v>25</v>
      </c>
      <c r="P18" s="2">
        <v>2996.1</v>
      </c>
      <c r="Q18" t="s">
        <v>48</v>
      </c>
      <c r="R18" s="1">
        <v>45163</v>
      </c>
      <c r="S18" s="1"/>
    </row>
    <row r="19" spans="1:19" x14ac:dyDescent="0.3">
      <c r="A19">
        <v>29301</v>
      </c>
      <c r="B19" t="s">
        <v>17</v>
      </c>
      <c r="C19" t="s">
        <v>17</v>
      </c>
      <c r="D19">
        <v>80000</v>
      </c>
      <c r="E19" t="str">
        <f>IF(Sales_Data[[#This Row],[Income]]&lt;=20000,"Low Income",IF(Sales_Data[[#This Row],[Income]]&lt;=40000,"Lower Middle",IF(Sales_Data[[#This Row],[Income]]&lt;=60000,"Middle Income",IF(Sales_Data[[#This Row],[Income]]&lt;=80000,"Upper Middle","High Income"))))</f>
        <v>Upper Middle</v>
      </c>
      <c r="F19">
        <v>5</v>
      </c>
      <c r="G19" t="s">
        <v>19</v>
      </c>
      <c r="H19" t="s">
        <v>31</v>
      </c>
      <c r="I19" t="s">
        <v>21</v>
      </c>
      <c r="J19">
        <v>4</v>
      </c>
      <c r="K19" t="s">
        <v>43</v>
      </c>
      <c r="L19" t="s">
        <v>37</v>
      </c>
      <c r="M19">
        <v>40</v>
      </c>
      <c r="N19" t="s">
        <v>38</v>
      </c>
      <c r="O19" t="s">
        <v>47</v>
      </c>
      <c r="P19" s="2">
        <v>3196.91</v>
      </c>
      <c r="Q19" t="s">
        <v>51</v>
      </c>
      <c r="R19" s="1">
        <v>45092</v>
      </c>
      <c r="S19" s="1"/>
    </row>
    <row r="20" spans="1:19" x14ac:dyDescent="0.3">
      <c r="A20">
        <v>16614</v>
      </c>
      <c r="B20" t="s">
        <v>17</v>
      </c>
      <c r="C20" t="s">
        <v>18</v>
      </c>
      <c r="D20">
        <v>80000</v>
      </c>
      <c r="E20" t="str">
        <f>IF(Sales_Data[[#This Row],[Income]]&lt;=20000,"Low Income",IF(Sales_Data[[#This Row],[Income]]&lt;=40000,"Lower Middle",IF(Sales_Data[[#This Row],[Income]]&lt;=60000,"Middle Income",IF(Sales_Data[[#This Row],[Income]]&lt;=80000,"Upper Middle","High Income"))))</f>
        <v>Upper Middle</v>
      </c>
      <c r="F20">
        <v>0</v>
      </c>
      <c r="G20" t="s">
        <v>19</v>
      </c>
      <c r="H20" t="s">
        <v>31</v>
      </c>
      <c r="I20" t="s">
        <v>21</v>
      </c>
      <c r="J20">
        <v>3</v>
      </c>
      <c r="K20" t="s">
        <v>53</v>
      </c>
      <c r="L20" t="s">
        <v>37</v>
      </c>
      <c r="M20">
        <v>32</v>
      </c>
      <c r="N20" t="s">
        <v>38</v>
      </c>
      <c r="O20" t="s">
        <v>39</v>
      </c>
      <c r="P20" s="2">
        <v>6431.08</v>
      </c>
      <c r="Q20" t="s">
        <v>58</v>
      </c>
      <c r="R20" s="1">
        <v>45127</v>
      </c>
      <c r="S20" s="1"/>
    </row>
    <row r="21" spans="1:19" x14ac:dyDescent="0.3">
      <c r="A21">
        <v>23426</v>
      </c>
      <c r="B21" t="s">
        <v>35</v>
      </c>
      <c r="C21" t="s">
        <v>17</v>
      </c>
      <c r="D21">
        <v>80000</v>
      </c>
      <c r="E21" t="str">
        <f>IF(Sales_Data[[#This Row],[Income]]&lt;=20000,"Low Income",IF(Sales_Data[[#This Row],[Income]]&lt;=40000,"Lower Middle",IF(Sales_Data[[#This Row],[Income]]&lt;=60000,"Middle Income",IF(Sales_Data[[#This Row],[Income]]&lt;=80000,"Upper Middle","High Income"))))</f>
        <v>Upper Middle</v>
      </c>
      <c r="F21">
        <v>5</v>
      </c>
      <c r="G21" t="s">
        <v>61</v>
      </c>
      <c r="H21" t="s">
        <v>46</v>
      </c>
      <c r="I21" t="s">
        <v>21</v>
      </c>
      <c r="J21">
        <v>3</v>
      </c>
      <c r="K21" t="s">
        <v>22</v>
      </c>
      <c r="L21" t="s">
        <v>37</v>
      </c>
      <c r="M21">
        <v>40</v>
      </c>
      <c r="N21" t="s">
        <v>24</v>
      </c>
      <c r="O21" t="s">
        <v>29</v>
      </c>
      <c r="P21" s="2">
        <v>8777.17</v>
      </c>
      <c r="Q21" t="s">
        <v>59</v>
      </c>
      <c r="R21" s="1">
        <v>45028</v>
      </c>
      <c r="S21" s="1"/>
    </row>
    <row r="22" spans="1:19" x14ac:dyDescent="0.3">
      <c r="A22">
        <v>14058</v>
      </c>
      <c r="B22" t="s">
        <v>35</v>
      </c>
      <c r="C22" t="s">
        <v>17</v>
      </c>
      <c r="D22">
        <v>70000</v>
      </c>
      <c r="E22" t="str">
        <f>IF(Sales_Data[[#This Row],[Income]]&lt;=20000,"Low Income",IF(Sales_Data[[#This Row],[Income]]&lt;=40000,"Lower Middle",IF(Sales_Data[[#This Row],[Income]]&lt;=60000,"Middle Income",IF(Sales_Data[[#This Row],[Income]]&lt;=80000,"Upper Middle","High Income"))))</f>
        <v>Upper Middle</v>
      </c>
      <c r="F22">
        <v>0</v>
      </c>
      <c r="G22" t="s">
        <v>19</v>
      </c>
      <c r="H22" t="s">
        <v>31</v>
      </c>
      <c r="I22" t="s">
        <v>32</v>
      </c>
      <c r="J22">
        <v>1</v>
      </c>
      <c r="K22" t="s">
        <v>36</v>
      </c>
      <c r="L22" t="s">
        <v>37</v>
      </c>
      <c r="M22">
        <v>41</v>
      </c>
      <c r="N22" t="s">
        <v>38</v>
      </c>
      <c r="O22" t="s">
        <v>41</v>
      </c>
      <c r="P22" s="2">
        <v>7502.84</v>
      </c>
      <c r="Q22" t="s">
        <v>60</v>
      </c>
      <c r="R22" s="1">
        <v>45235</v>
      </c>
      <c r="S22" s="1"/>
    </row>
    <row r="23" spans="1:19" x14ac:dyDescent="0.3">
      <c r="A23">
        <v>18144</v>
      </c>
      <c r="B23" t="s">
        <v>17</v>
      </c>
      <c r="C23" t="s">
        <v>18</v>
      </c>
      <c r="D23">
        <v>80000</v>
      </c>
      <c r="E23" t="str">
        <f>IF(Sales_Data[[#This Row],[Income]]&lt;=20000,"Low Income",IF(Sales_Data[[#This Row],[Income]]&lt;=40000,"Lower Middle",IF(Sales_Data[[#This Row],[Income]]&lt;=60000,"Middle Income",IF(Sales_Data[[#This Row],[Income]]&lt;=80000,"Upper Middle","High Income"))))</f>
        <v>Upper Middle</v>
      </c>
      <c r="F23">
        <v>5</v>
      </c>
      <c r="G23" t="s">
        <v>19</v>
      </c>
      <c r="H23" t="s">
        <v>46</v>
      </c>
      <c r="I23" t="s">
        <v>21</v>
      </c>
      <c r="J23">
        <v>2</v>
      </c>
      <c r="K23" t="s">
        <v>33</v>
      </c>
      <c r="L23" t="s">
        <v>23</v>
      </c>
      <c r="M23">
        <v>61</v>
      </c>
      <c r="N23" t="s">
        <v>24</v>
      </c>
      <c r="O23" t="s">
        <v>34</v>
      </c>
      <c r="P23" s="2">
        <v>6902.73</v>
      </c>
      <c r="Q23" t="s">
        <v>26</v>
      </c>
      <c r="R23" s="1">
        <v>45281</v>
      </c>
      <c r="S23" s="1"/>
    </row>
    <row r="24" spans="1:19" x14ac:dyDescent="0.3">
      <c r="A24">
        <v>17504</v>
      </c>
      <c r="B24" t="s">
        <v>35</v>
      </c>
      <c r="C24" t="s">
        <v>18</v>
      </c>
      <c r="D24">
        <v>80000</v>
      </c>
      <c r="E24" t="str">
        <f>IF(Sales_Data[[#This Row],[Income]]&lt;=20000,"Low Income",IF(Sales_Data[[#This Row],[Income]]&lt;=40000,"Lower Middle",IF(Sales_Data[[#This Row],[Income]]&lt;=60000,"Middle Income",IF(Sales_Data[[#This Row],[Income]]&lt;=80000,"Upper Middle","High Income"))))</f>
        <v>Upper Middle</v>
      </c>
      <c r="F24">
        <v>2</v>
      </c>
      <c r="G24" t="s">
        <v>27</v>
      </c>
      <c r="H24" t="s">
        <v>20</v>
      </c>
      <c r="I24" t="s">
        <v>21</v>
      </c>
      <c r="J24">
        <v>2</v>
      </c>
      <c r="K24" t="s">
        <v>36</v>
      </c>
      <c r="L24" t="s">
        <v>37</v>
      </c>
      <c r="M24">
        <v>52</v>
      </c>
      <c r="N24" t="s">
        <v>24</v>
      </c>
      <c r="O24" t="s">
        <v>55</v>
      </c>
      <c r="P24" s="2">
        <v>5283.79</v>
      </c>
      <c r="Q24" t="s">
        <v>44</v>
      </c>
      <c r="R24" s="1">
        <v>44953</v>
      </c>
      <c r="S24" s="1"/>
    </row>
    <row r="25" spans="1:19" x14ac:dyDescent="0.3">
      <c r="A25">
        <v>18151</v>
      </c>
      <c r="B25" t="s">
        <v>35</v>
      </c>
      <c r="C25" t="s">
        <v>17</v>
      </c>
      <c r="D25">
        <v>80000</v>
      </c>
      <c r="E25" t="str">
        <f>IF(Sales_Data[[#This Row],[Income]]&lt;=20000,"Low Income",IF(Sales_Data[[#This Row],[Income]]&lt;=40000,"Lower Middle",IF(Sales_Data[[#This Row],[Income]]&lt;=60000,"Middle Income",IF(Sales_Data[[#This Row],[Income]]&lt;=80000,"Upper Middle","High Income"))))</f>
        <v>Upper Middle</v>
      </c>
      <c r="F25">
        <v>5</v>
      </c>
      <c r="G25" t="s">
        <v>27</v>
      </c>
      <c r="H25" t="s">
        <v>31</v>
      </c>
      <c r="I25" t="s">
        <v>32</v>
      </c>
      <c r="J25">
        <v>2</v>
      </c>
      <c r="K25" t="s">
        <v>53</v>
      </c>
      <c r="L25" t="s">
        <v>23</v>
      </c>
      <c r="M25">
        <v>59</v>
      </c>
      <c r="N25" t="s">
        <v>38</v>
      </c>
      <c r="O25" t="s">
        <v>47</v>
      </c>
      <c r="P25" s="2">
        <v>3476.63</v>
      </c>
      <c r="Q25" t="s">
        <v>30</v>
      </c>
      <c r="R25" s="1">
        <v>44998</v>
      </c>
      <c r="S25" s="1"/>
    </row>
    <row r="26" spans="1:19" x14ac:dyDescent="0.3">
      <c r="A26">
        <v>20606</v>
      </c>
      <c r="B26" t="s">
        <v>17</v>
      </c>
      <c r="C26" t="s">
        <v>18</v>
      </c>
      <c r="D26">
        <v>70000</v>
      </c>
      <c r="E26" t="str">
        <f>IF(Sales_Data[[#This Row],[Income]]&lt;=20000,"Low Income",IF(Sales_Data[[#This Row],[Income]]&lt;=40000,"Lower Middle",IF(Sales_Data[[#This Row],[Income]]&lt;=60000,"Middle Income",IF(Sales_Data[[#This Row],[Income]]&lt;=80000,"Upper Middle","High Income"))))</f>
        <v>Upper Middle</v>
      </c>
      <c r="F26">
        <v>0</v>
      </c>
      <c r="G26" t="s">
        <v>19</v>
      </c>
      <c r="H26" t="s">
        <v>31</v>
      </c>
      <c r="I26" t="s">
        <v>21</v>
      </c>
      <c r="J26">
        <v>4</v>
      </c>
      <c r="K26" t="s">
        <v>53</v>
      </c>
      <c r="L26" t="s">
        <v>37</v>
      </c>
      <c r="M26">
        <v>32</v>
      </c>
      <c r="N26" t="s">
        <v>24</v>
      </c>
      <c r="O26" t="s">
        <v>29</v>
      </c>
      <c r="P26" s="2">
        <v>5183.46</v>
      </c>
      <c r="Q26" t="s">
        <v>30</v>
      </c>
      <c r="R26" s="1">
        <v>45008</v>
      </c>
      <c r="S26" s="1"/>
    </row>
    <row r="27" spans="1:19" x14ac:dyDescent="0.3">
      <c r="A27">
        <v>15682</v>
      </c>
      <c r="B27" t="s">
        <v>35</v>
      </c>
      <c r="C27" t="s">
        <v>18</v>
      </c>
      <c r="D27">
        <v>80000</v>
      </c>
      <c r="E27" t="str">
        <f>IF(Sales_Data[[#This Row],[Income]]&lt;=20000,"Low Income",IF(Sales_Data[[#This Row],[Income]]&lt;=40000,"Lower Middle",IF(Sales_Data[[#This Row],[Income]]&lt;=60000,"Middle Income",IF(Sales_Data[[#This Row],[Income]]&lt;=80000,"Upper Middle","High Income"))))</f>
        <v>Upper Middle</v>
      </c>
      <c r="F27">
        <v>5</v>
      </c>
      <c r="G27" t="s">
        <v>19</v>
      </c>
      <c r="H27" t="s">
        <v>46</v>
      </c>
      <c r="I27" t="s">
        <v>21</v>
      </c>
      <c r="J27">
        <v>2</v>
      </c>
      <c r="K27" t="s">
        <v>53</v>
      </c>
      <c r="L27" t="s">
        <v>23</v>
      </c>
      <c r="M27">
        <v>62</v>
      </c>
      <c r="N27" t="s">
        <v>38</v>
      </c>
      <c r="O27" t="s">
        <v>54</v>
      </c>
      <c r="P27" s="2">
        <v>508.19</v>
      </c>
      <c r="Q27" t="s">
        <v>40</v>
      </c>
      <c r="R27" s="1">
        <v>45048</v>
      </c>
      <c r="S27" s="1"/>
    </row>
    <row r="28" spans="1:19" x14ac:dyDescent="0.3">
      <c r="A28">
        <v>26032</v>
      </c>
      <c r="B28" t="s">
        <v>17</v>
      </c>
      <c r="C28" t="s">
        <v>18</v>
      </c>
      <c r="D28">
        <v>70000</v>
      </c>
      <c r="E28" t="str">
        <f>IF(Sales_Data[[#This Row],[Income]]&lt;=20000,"Low Income",IF(Sales_Data[[#This Row],[Income]]&lt;=40000,"Lower Middle",IF(Sales_Data[[#This Row],[Income]]&lt;=60000,"Middle Income",IF(Sales_Data[[#This Row],[Income]]&lt;=80000,"Upper Middle","High Income"))))</f>
        <v>Upper Middle</v>
      </c>
      <c r="F28">
        <v>5</v>
      </c>
      <c r="G28" t="s">
        <v>19</v>
      </c>
      <c r="H28" t="s">
        <v>31</v>
      </c>
      <c r="I28" t="s">
        <v>21</v>
      </c>
      <c r="J28">
        <v>4</v>
      </c>
      <c r="K28" t="s">
        <v>53</v>
      </c>
      <c r="L28" t="s">
        <v>37</v>
      </c>
      <c r="M28">
        <v>41</v>
      </c>
      <c r="N28" t="s">
        <v>24</v>
      </c>
      <c r="O28" t="s">
        <v>49</v>
      </c>
      <c r="P28" s="2">
        <v>9486.6</v>
      </c>
      <c r="Q28" t="s">
        <v>30</v>
      </c>
      <c r="R28" s="1">
        <v>45004</v>
      </c>
      <c r="S28" s="1"/>
    </row>
    <row r="29" spans="1:19" x14ac:dyDescent="0.3">
      <c r="A29">
        <v>11453</v>
      </c>
      <c r="B29" t="s">
        <v>35</v>
      </c>
      <c r="C29" t="s">
        <v>17</v>
      </c>
      <c r="D29">
        <v>80000</v>
      </c>
      <c r="E29" t="str">
        <f>IF(Sales_Data[[#This Row],[Income]]&lt;=20000,"Low Income",IF(Sales_Data[[#This Row],[Income]]&lt;=40000,"Lower Middle",IF(Sales_Data[[#This Row],[Income]]&lt;=60000,"Middle Income",IF(Sales_Data[[#This Row],[Income]]&lt;=80000,"Upper Middle","High Income"))))</f>
        <v>Upper Middle</v>
      </c>
      <c r="F29">
        <v>0</v>
      </c>
      <c r="G29" t="s">
        <v>19</v>
      </c>
      <c r="H29" t="s">
        <v>31</v>
      </c>
      <c r="I29" t="s">
        <v>32</v>
      </c>
      <c r="J29">
        <v>3</v>
      </c>
      <c r="K29" t="s">
        <v>53</v>
      </c>
      <c r="L29" t="s">
        <v>37</v>
      </c>
      <c r="M29">
        <v>33</v>
      </c>
      <c r="N29" t="s">
        <v>38</v>
      </c>
      <c r="O29" t="s">
        <v>62</v>
      </c>
      <c r="P29" s="2">
        <v>9344.11</v>
      </c>
      <c r="Q29" t="s">
        <v>56</v>
      </c>
      <c r="R29" s="1">
        <v>45185</v>
      </c>
      <c r="S29" s="1"/>
    </row>
    <row r="30" spans="1:19" x14ac:dyDescent="0.3">
      <c r="A30">
        <v>14669</v>
      </c>
      <c r="B30" t="s">
        <v>17</v>
      </c>
      <c r="C30" t="s">
        <v>18</v>
      </c>
      <c r="D30">
        <v>80000</v>
      </c>
      <c r="E30" t="str">
        <f>IF(Sales_Data[[#This Row],[Income]]&lt;=20000,"Low Income",IF(Sales_Data[[#This Row],[Income]]&lt;=40000,"Lower Middle",IF(Sales_Data[[#This Row],[Income]]&lt;=60000,"Middle Income",IF(Sales_Data[[#This Row],[Income]]&lt;=80000,"Upper Middle","High Income"))))</f>
        <v>Upper Middle</v>
      </c>
      <c r="F30">
        <v>4</v>
      </c>
      <c r="G30" t="s">
        <v>61</v>
      </c>
      <c r="H30" t="s">
        <v>46</v>
      </c>
      <c r="I30" t="s">
        <v>21</v>
      </c>
      <c r="J30">
        <v>1</v>
      </c>
      <c r="K30" t="s">
        <v>22</v>
      </c>
      <c r="L30" t="s">
        <v>37</v>
      </c>
      <c r="M30">
        <v>36</v>
      </c>
      <c r="N30" t="s">
        <v>24</v>
      </c>
      <c r="O30" t="s">
        <v>55</v>
      </c>
      <c r="P30" s="2">
        <v>5043.91</v>
      </c>
      <c r="Q30" t="s">
        <v>57</v>
      </c>
      <c r="R30" s="1">
        <v>45218</v>
      </c>
      <c r="S30" s="1"/>
    </row>
    <row r="31" spans="1:19" x14ac:dyDescent="0.3">
      <c r="A31">
        <v>11451</v>
      </c>
      <c r="B31" t="s">
        <v>35</v>
      </c>
      <c r="C31" t="s">
        <v>17</v>
      </c>
      <c r="D31">
        <v>70000</v>
      </c>
      <c r="E31" t="str">
        <f>IF(Sales_Data[[#This Row],[Income]]&lt;=20000,"Low Income",IF(Sales_Data[[#This Row],[Income]]&lt;=40000,"Lower Middle",IF(Sales_Data[[#This Row],[Income]]&lt;=60000,"Middle Income",IF(Sales_Data[[#This Row],[Income]]&lt;=80000,"Upper Middle","High Income"))))</f>
        <v>Upper Middle</v>
      </c>
      <c r="F31">
        <v>0</v>
      </c>
      <c r="G31" t="s">
        <v>19</v>
      </c>
      <c r="H31" t="s">
        <v>31</v>
      </c>
      <c r="I31" t="s">
        <v>32</v>
      </c>
      <c r="J31">
        <v>4</v>
      </c>
      <c r="K31" t="s">
        <v>53</v>
      </c>
      <c r="L31" t="s">
        <v>37</v>
      </c>
      <c r="M31">
        <v>31</v>
      </c>
      <c r="N31" t="s">
        <v>38</v>
      </c>
      <c r="O31" t="s">
        <v>62</v>
      </c>
      <c r="P31" s="2">
        <v>8328.01</v>
      </c>
      <c r="Q31" t="s">
        <v>58</v>
      </c>
      <c r="R31" s="1">
        <v>45110</v>
      </c>
      <c r="S31" s="1"/>
    </row>
    <row r="32" spans="1:19" x14ac:dyDescent="0.3">
      <c r="A32">
        <v>27951</v>
      </c>
      <c r="B32" t="s">
        <v>35</v>
      </c>
      <c r="C32" t="s">
        <v>17</v>
      </c>
      <c r="D32">
        <v>80000</v>
      </c>
      <c r="E32" t="str">
        <f>IF(Sales_Data[[#This Row],[Income]]&lt;=20000,"Low Income",IF(Sales_Data[[#This Row],[Income]]&lt;=40000,"Lower Middle",IF(Sales_Data[[#This Row],[Income]]&lt;=60000,"Middle Income",IF(Sales_Data[[#This Row],[Income]]&lt;=80000,"Upper Middle","High Income"))))</f>
        <v>Upper Middle</v>
      </c>
      <c r="F32">
        <v>4</v>
      </c>
      <c r="G32" t="s">
        <v>27</v>
      </c>
      <c r="H32" t="s">
        <v>31</v>
      </c>
      <c r="I32" t="s">
        <v>32</v>
      </c>
      <c r="J32">
        <v>2</v>
      </c>
      <c r="K32" t="s">
        <v>33</v>
      </c>
      <c r="L32" t="s">
        <v>23</v>
      </c>
      <c r="M32">
        <v>54</v>
      </c>
      <c r="N32" t="s">
        <v>38</v>
      </c>
      <c r="O32" t="s">
        <v>47</v>
      </c>
      <c r="P32" s="2">
        <v>8960.7099999999991</v>
      </c>
      <c r="Q32" t="s">
        <v>52</v>
      </c>
      <c r="R32" s="1">
        <v>44979</v>
      </c>
      <c r="S32" s="1"/>
    </row>
    <row r="33" spans="1:19" x14ac:dyDescent="0.3">
      <c r="A33">
        <v>18711</v>
      </c>
      <c r="B33" t="s">
        <v>35</v>
      </c>
      <c r="C33" t="s">
        <v>18</v>
      </c>
      <c r="D33">
        <v>70000</v>
      </c>
      <c r="E33" t="str">
        <f>IF(Sales_Data[[#This Row],[Income]]&lt;=20000,"Low Income",IF(Sales_Data[[#This Row],[Income]]&lt;=40000,"Lower Middle",IF(Sales_Data[[#This Row],[Income]]&lt;=60000,"Middle Income",IF(Sales_Data[[#This Row],[Income]]&lt;=80000,"Upper Middle","High Income"))))</f>
        <v>Upper Middle</v>
      </c>
      <c r="F33">
        <v>5</v>
      </c>
      <c r="G33" t="s">
        <v>19</v>
      </c>
      <c r="H33" t="s">
        <v>31</v>
      </c>
      <c r="I33" t="s">
        <v>21</v>
      </c>
      <c r="J33">
        <v>4</v>
      </c>
      <c r="K33" t="s">
        <v>53</v>
      </c>
      <c r="L33" t="s">
        <v>37</v>
      </c>
      <c r="M33">
        <v>39</v>
      </c>
      <c r="N33" t="s">
        <v>24</v>
      </c>
      <c r="O33" t="s">
        <v>55</v>
      </c>
      <c r="P33" s="2">
        <v>6636.26</v>
      </c>
      <c r="Q33" t="s">
        <v>58</v>
      </c>
      <c r="R33" s="1">
        <v>45128</v>
      </c>
      <c r="S33" s="1"/>
    </row>
    <row r="34" spans="1:19" x14ac:dyDescent="0.3">
      <c r="A34">
        <v>28915</v>
      </c>
      <c r="B34" t="s">
        <v>35</v>
      </c>
      <c r="C34" t="s">
        <v>17</v>
      </c>
      <c r="D34">
        <v>80000</v>
      </c>
      <c r="E34" t="str">
        <f>IF(Sales_Data[[#This Row],[Income]]&lt;=20000,"Low Income",IF(Sales_Data[[#This Row],[Income]]&lt;=40000,"Lower Middle",IF(Sales_Data[[#This Row],[Income]]&lt;=60000,"Middle Income",IF(Sales_Data[[#This Row],[Income]]&lt;=80000,"Upper Middle","High Income"))))</f>
        <v>Upper Middle</v>
      </c>
      <c r="F34">
        <v>5</v>
      </c>
      <c r="G34" t="s">
        <v>45</v>
      </c>
      <c r="H34" t="s">
        <v>46</v>
      </c>
      <c r="I34" t="s">
        <v>21</v>
      </c>
      <c r="J34">
        <v>3</v>
      </c>
      <c r="K34" t="s">
        <v>53</v>
      </c>
      <c r="L34" t="s">
        <v>23</v>
      </c>
      <c r="M34">
        <v>57</v>
      </c>
      <c r="N34" t="s">
        <v>38</v>
      </c>
      <c r="O34" t="s">
        <v>39</v>
      </c>
      <c r="P34" s="2">
        <v>4037.03</v>
      </c>
      <c r="Q34" t="s">
        <v>59</v>
      </c>
      <c r="R34" s="1">
        <v>45042</v>
      </c>
      <c r="S34" s="1"/>
    </row>
    <row r="35" spans="1:19" x14ac:dyDescent="0.3">
      <c r="A35">
        <v>22006</v>
      </c>
      <c r="B35" t="s">
        <v>17</v>
      </c>
      <c r="C35" t="s">
        <v>17</v>
      </c>
      <c r="D35">
        <v>70000</v>
      </c>
      <c r="E35" t="str">
        <f>IF(Sales_Data[[#This Row],[Income]]&lt;=20000,"Low Income",IF(Sales_Data[[#This Row],[Income]]&lt;=40000,"Lower Middle",IF(Sales_Data[[#This Row],[Income]]&lt;=60000,"Middle Income",IF(Sales_Data[[#This Row],[Income]]&lt;=80000,"Upper Middle","High Income"))))</f>
        <v>Upper Middle</v>
      </c>
      <c r="F35">
        <v>5</v>
      </c>
      <c r="G35" t="s">
        <v>27</v>
      </c>
      <c r="H35" t="s">
        <v>20</v>
      </c>
      <c r="I35" t="s">
        <v>21</v>
      </c>
      <c r="J35">
        <v>3</v>
      </c>
      <c r="K35" t="s">
        <v>36</v>
      </c>
      <c r="L35" t="s">
        <v>37</v>
      </c>
      <c r="M35">
        <v>46</v>
      </c>
      <c r="N35" t="s">
        <v>38</v>
      </c>
      <c r="O35" t="s">
        <v>41</v>
      </c>
      <c r="P35" s="2">
        <v>836.06</v>
      </c>
      <c r="Q35" t="s">
        <v>30</v>
      </c>
      <c r="R35" s="1">
        <v>45000</v>
      </c>
      <c r="S35" s="1"/>
    </row>
    <row r="36" spans="1:19" x14ac:dyDescent="0.3">
      <c r="A36">
        <v>23432</v>
      </c>
      <c r="B36" t="s">
        <v>35</v>
      </c>
      <c r="C36" t="s">
        <v>17</v>
      </c>
      <c r="D36">
        <v>70000</v>
      </c>
      <c r="E36" t="str">
        <f>IF(Sales_Data[[#This Row],[Income]]&lt;=20000,"Low Income",IF(Sales_Data[[#This Row],[Income]]&lt;=40000,"Lower Middle",IF(Sales_Data[[#This Row],[Income]]&lt;=60000,"Middle Income",IF(Sales_Data[[#This Row],[Income]]&lt;=80000,"Upper Middle","High Income"))))</f>
        <v>Upper Middle</v>
      </c>
      <c r="F36">
        <v>0</v>
      </c>
      <c r="G36" t="s">
        <v>19</v>
      </c>
      <c r="H36" t="s">
        <v>31</v>
      </c>
      <c r="I36" t="s">
        <v>21</v>
      </c>
      <c r="J36">
        <v>1</v>
      </c>
      <c r="K36" t="s">
        <v>36</v>
      </c>
      <c r="L36" t="s">
        <v>37</v>
      </c>
      <c r="M36">
        <v>37</v>
      </c>
      <c r="N36" t="s">
        <v>38</v>
      </c>
      <c r="O36" t="s">
        <v>39</v>
      </c>
      <c r="P36" s="2">
        <v>4787.6099999999997</v>
      </c>
      <c r="Q36" t="s">
        <v>60</v>
      </c>
      <c r="R36" s="1">
        <v>45245</v>
      </c>
      <c r="S36" s="1"/>
    </row>
    <row r="37" spans="1:19" x14ac:dyDescent="0.3">
      <c r="A37">
        <v>23419</v>
      </c>
      <c r="B37" t="s">
        <v>35</v>
      </c>
      <c r="C37" t="s">
        <v>18</v>
      </c>
      <c r="D37">
        <v>70000</v>
      </c>
      <c r="E37" t="str">
        <f>IF(Sales_Data[[#This Row],[Income]]&lt;=20000,"Low Income",IF(Sales_Data[[#This Row],[Income]]&lt;=40000,"Lower Middle",IF(Sales_Data[[#This Row],[Income]]&lt;=60000,"Middle Income",IF(Sales_Data[[#This Row],[Income]]&lt;=80000,"Upper Middle","High Income"))))</f>
        <v>Upper Middle</v>
      </c>
      <c r="F37">
        <v>5</v>
      </c>
      <c r="G37" t="s">
        <v>19</v>
      </c>
      <c r="H37" t="s">
        <v>31</v>
      </c>
      <c r="I37" t="s">
        <v>21</v>
      </c>
      <c r="J37">
        <v>3</v>
      </c>
      <c r="K37" t="s">
        <v>53</v>
      </c>
      <c r="L37" t="s">
        <v>37</v>
      </c>
      <c r="M37">
        <v>39</v>
      </c>
      <c r="N37" t="s">
        <v>24</v>
      </c>
      <c r="O37" t="s">
        <v>55</v>
      </c>
      <c r="P37" s="2">
        <v>993.6</v>
      </c>
      <c r="Q37" t="s">
        <v>58</v>
      </c>
      <c r="R37" s="1">
        <v>45137</v>
      </c>
      <c r="S37" s="1"/>
    </row>
    <row r="38" spans="1:19" x14ac:dyDescent="0.3">
      <c r="A38">
        <v>19626</v>
      </c>
      <c r="B38" t="s">
        <v>17</v>
      </c>
      <c r="C38" t="s">
        <v>17</v>
      </c>
      <c r="D38">
        <v>70000</v>
      </c>
      <c r="E38" t="str">
        <f>IF(Sales_Data[[#This Row],[Income]]&lt;=20000,"Low Income",IF(Sales_Data[[#This Row],[Income]]&lt;=40000,"Lower Middle",IF(Sales_Data[[#This Row],[Income]]&lt;=60000,"Middle Income",IF(Sales_Data[[#This Row],[Income]]&lt;=80000,"Upper Middle","High Income"))))</f>
        <v>Upper Middle</v>
      </c>
      <c r="F38">
        <v>5</v>
      </c>
      <c r="G38" t="s">
        <v>27</v>
      </c>
      <c r="H38" t="s">
        <v>20</v>
      </c>
      <c r="I38" t="s">
        <v>21</v>
      </c>
      <c r="J38">
        <v>3</v>
      </c>
      <c r="K38" t="s">
        <v>36</v>
      </c>
      <c r="L38" t="s">
        <v>37</v>
      </c>
      <c r="M38">
        <v>45</v>
      </c>
      <c r="N38" t="s">
        <v>24</v>
      </c>
      <c r="O38" t="s">
        <v>34</v>
      </c>
      <c r="P38" s="2">
        <v>5278.25</v>
      </c>
      <c r="Q38" t="s">
        <v>44</v>
      </c>
      <c r="R38" s="1">
        <v>44948</v>
      </c>
      <c r="S38" s="1"/>
    </row>
    <row r="39" spans="1:19" x14ac:dyDescent="0.3">
      <c r="A39">
        <v>22005</v>
      </c>
      <c r="B39" t="s">
        <v>17</v>
      </c>
      <c r="C39" t="s">
        <v>18</v>
      </c>
      <c r="D39">
        <v>70000</v>
      </c>
      <c r="E39" t="str">
        <f>IF(Sales_Data[[#This Row],[Income]]&lt;=20000,"Low Income",IF(Sales_Data[[#This Row],[Income]]&lt;=40000,"Lower Middle",IF(Sales_Data[[#This Row],[Income]]&lt;=60000,"Middle Income",IF(Sales_Data[[#This Row],[Income]]&lt;=80000,"Upper Middle","High Income"))))</f>
        <v>Upper Middle</v>
      </c>
      <c r="F39">
        <v>5</v>
      </c>
      <c r="G39" t="s">
        <v>27</v>
      </c>
      <c r="H39" t="s">
        <v>20</v>
      </c>
      <c r="I39" t="s">
        <v>32</v>
      </c>
      <c r="J39">
        <v>3</v>
      </c>
      <c r="K39" t="s">
        <v>36</v>
      </c>
      <c r="L39" t="s">
        <v>37</v>
      </c>
      <c r="M39">
        <v>46</v>
      </c>
      <c r="N39" t="s">
        <v>24</v>
      </c>
      <c r="O39" t="s">
        <v>25</v>
      </c>
      <c r="P39" s="2">
        <v>9823.5499999999993</v>
      </c>
      <c r="Q39" t="s">
        <v>48</v>
      </c>
      <c r="R39" s="1">
        <v>45148</v>
      </c>
      <c r="S39" s="1"/>
    </row>
    <row r="40" spans="1:19" x14ac:dyDescent="0.3">
      <c r="A40">
        <v>28207</v>
      </c>
      <c r="B40" t="s">
        <v>17</v>
      </c>
      <c r="C40" t="s">
        <v>17</v>
      </c>
      <c r="D40">
        <v>80000</v>
      </c>
      <c r="E40" t="str">
        <f>IF(Sales_Data[[#This Row],[Income]]&lt;=20000,"Low Income",IF(Sales_Data[[#This Row],[Income]]&lt;=40000,"Lower Middle",IF(Sales_Data[[#This Row],[Income]]&lt;=60000,"Middle Income",IF(Sales_Data[[#This Row],[Income]]&lt;=80000,"Upper Middle","High Income"))))</f>
        <v>Upper Middle</v>
      </c>
      <c r="F40">
        <v>4</v>
      </c>
      <c r="G40" t="s">
        <v>61</v>
      </c>
      <c r="H40" t="s">
        <v>46</v>
      </c>
      <c r="I40" t="s">
        <v>21</v>
      </c>
      <c r="J40">
        <v>1</v>
      </c>
      <c r="K40" t="s">
        <v>22</v>
      </c>
      <c r="L40" t="s">
        <v>37</v>
      </c>
      <c r="M40">
        <v>36</v>
      </c>
      <c r="N40" t="s">
        <v>24</v>
      </c>
      <c r="O40" t="s">
        <v>34</v>
      </c>
      <c r="P40" s="2">
        <v>933.01</v>
      </c>
      <c r="Q40" t="s">
        <v>44</v>
      </c>
      <c r="R40" s="1">
        <v>44952</v>
      </c>
      <c r="S40" s="1"/>
    </row>
    <row r="41" spans="1:19" x14ac:dyDescent="0.3">
      <c r="A41">
        <v>18740</v>
      </c>
      <c r="B41" t="s">
        <v>17</v>
      </c>
      <c r="C41" t="s">
        <v>17</v>
      </c>
      <c r="D41">
        <v>80000</v>
      </c>
      <c r="E41" t="str">
        <f>IF(Sales_Data[[#This Row],[Income]]&lt;=20000,"Low Income",IF(Sales_Data[[#This Row],[Income]]&lt;=40000,"Lower Middle",IF(Sales_Data[[#This Row],[Income]]&lt;=60000,"Middle Income",IF(Sales_Data[[#This Row],[Income]]&lt;=80000,"Upper Middle","High Income"))))</f>
        <v>Upper Middle</v>
      </c>
      <c r="F41">
        <v>5</v>
      </c>
      <c r="G41" t="s">
        <v>19</v>
      </c>
      <c r="H41" t="s">
        <v>31</v>
      </c>
      <c r="I41" t="s">
        <v>32</v>
      </c>
      <c r="J41">
        <v>1</v>
      </c>
      <c r="K41" t="s">
        <v>22</v>
      </c>
      <c r="L41" t="s">
        <v>37</v>
      </c>
      <c r="M41">
        <v>47</v>
      </c>
      <c r="N41" t="s">
        <v>24</v>
      </c>
      <c r="O41" t="s">
        <v>55</v>
      </c>
      <c r="P41" s="2">
        <v>6704.26</v>
      </c>
      <c r="Q41" t="s">
        <v>59</v>
      </c>
      <c r="R41" s="1">
        <v>45027</v>
      </c>
      <c r="S41" s="1"/>
    </row>
    <row r="42" spans="1:19" x14ac:dyDescent="0.3">
      <c r="A42">
        <v>21213</v>
      </c>
      <c r="B42" t="s">
        <v>35</v>
      </c>
      <c r="C42" t="s">
        <v>17</v>
      </c>
      <c r="D42">
        <v>70000</v>
      </c>
      <c r="E42" t="str">
        <f>IF(Sales_Data[[#This Row],[Income]]&lt;=20000,"Low Income",IF(Sales_Data[[#This Row],[Income]]&lt;=40000,"Lower Middle",IF(Sales_Data[[#This Row],[Income]]&lt;=60000,"Middle Income",IF(Sales_Data[[#This Row],[Income]]&lt;=80000,"Upper Middle","High Income"))))</f>
        <v>Upper Middle</v>
      </c>
      <c r="F42">
        <v>0</v>
      </c>
      <c r="G42" t="s">
        <v>19</v>
      </c>
      <c r="H42" t="s">
        <v>31</v>
      </c>
      <c r="I42" t="s">
        <v>32</v>
      </c>
      <c r="J42">
        <v>1</v>
      </c>
      <c r="K42" t="s">
        <v>36</v>
      </c>
      <c r="L42" t="s">
        <v>37</v>
      </c>
      <c r="M42">
        <v>41</v>
      </c>
      <c r="N42" t="s">
        <v>24</v>
      </c>
      <c r="O42" t="s">
        <v>25</v>
      </c>
      <c r="P42" s="2">
        <v>879.97</v>
      </c>
      <c r="Q42" t="s">
        <v>60</v>
      </c>
      <c r="R42" s="1">
        <v>45252</v>
      </c>
      <c r="S42" s="1"/>
    </row>
    <row r="43" spans="1:19" x14ac:dyDescent="0.3">
      <c r="A43">
        <v>24898</v>
      </c>
      <c r="B43" t="s">
        <v>35</v>
      </c>
      <c r="C43" t="s">
        <v>18</v>
      </c>
      <c r="D43">
        <v>80000</v>
      </c>
      <c r="E43" t="str">
        <f>IF(Sales_Data[[#This Row],[Income]]&lt;=20000,"Low Income",IF(Sales_Data[[#This Row],[Income]]&lt;=40000,"Lower Middle",IF(Sales_Data[[#This Row],[Income]]&lt;=60000,"Middle Income",IF(Sales_Data[[#This Row],[Income]]&lt;=80000,"Upper Middle","High Income"))))</f>
        <v>Upper Middle</v>
      </c>
      <c r="F43">
        <v>0</v>
      </c>
      <c r="G43" t="s">
        <v>19</v>
      </c>
      <c r="H43" t="s">
        <v>31</v>
      </c>
      <c r="I43" t="s">
        <v>21</v>
      </c>
      <c r="J43">
        <v>3</v>
      </c>
      <c r="K43" t="s">
        <v>53</v>
      </c>
      <c r="L43" t="s">
        <v>37</v>
      </c>
      <c r="M43">
        <v>32</v>
      </c>
      <c r="N43" t="s">
        <v>38</v>
      </c>
      <c r="O43" t="s">
        <v>62</v>
      </c>
      <c r="P43" s="2">
        <v>8254.7900000000009</v>
      </c>
      <c r="Q43" t="s">
        <v>48</v>
      </c>
      <c r="R43" s="1">
        <v>45169</v>
      </c>
      <c r="S43" s="1"/>
    </row>
    <row r="44" spans="1:19" x14ac:dyDescent="0.3">
      <c r="A44">
        <v>24369</v>
      </c>
      <c r="B44" t="s">
        <v>17</v>
      </c>
      <c r="C44" t="s">
        <v>17</v>
      </c>
      <c r="D44">
        <v>80000</v>
      </c>
      <c r="E44" t="str">
        <f>IF(Sales_Data[[#This Row],[Income]]&lt;=20000,"Low Income",IF(Sales_Data[[#This Row],[Income]]&lt;=40000,"Lower Middle",IF(Sales_Data[[#This Row],[Income]]&lt;=60000,"Middle Income",IF(Sales_Data[[#This Row],[Income]]&lt;=80000,"Upper Middle","High Income"))))</f>
        <v>Upper Middle</v>
      </c>
      <c r="F44">
        <v>5</v>
      </c>
      <c r="G44" t="s">
        <v>61</v>
      </c>
      <c r="H44" t="s">
        <v>46</v>
      </c>
      <c r="I44" t="s">
        <v>32</v>
      </c>
      <c r="J44">
        <v>2</v>
      </c>
      <c r="K44" t="s">
        <v>22</v>
      </c>
      <c r="L44" t="s">
        <v>37</v>
      </c>
      <c r="M44">
        <v>39</v>
      </c>
      <c r="N44" t="s">
        <v>38</v>
      </c>
      <c r="O44" t="s">
        <v>41</v>
      </c>
      <c r="P44" s="2">
        <v>8796.93</v>
      </c>
      <c r="Q44" t="s">
        <v>40</v>
      </c>
      <c r="R44" s="1">
        <v>45056</v>
      </c>
      <c r="S44" s="1"/>
    </row>
    <row r="45" spans="1:19" x14ac:dyDescent="0.3">
      <c r="A45">
        <v>27941</v>
      </c>
      <c r="B45" t="s">
        <v>17</v>
      </c>
      <c r="C45" t="s">
        <v>18</v>
      </c>
      <c r="D45">
        <v>80000</v>
      </c>
      <c r="E45" t="str">
        <f>IF(Sales_Data[[#This Row],[Income]]&lt;=20000,"Low Income",IF(Sales_Data[[#This Row],[Income]]&lt;=40000,"Lower Middle",IF(Sales_Data[[#This Row],[Income]]&lt;=60000,"Middle Income",IF(Sales_Data[[#This Row],[Income]]&lt;=80000,"Upper Middle","High Income"))))</f>
        <v>Upper Middle</v>
      </c>
      <c r="F45">
        <v>4</v>
      </c>
      <c r="G45" t="s">
        <v>27</v>
      </c>
      <c r="H45" t="s">
        <v>31</v>
      </c>
      <c r="I45" t="s">
        <v>21</v>
      </c>
      <c r="J45">
        <v>2</v>
      </c>
      <c r="K45" t="s">
        <v>33</v>
      </c>
      <c r="L45" t="s">
        <v>23</v>
      </c>
      <c r="M45">
        <v>53</v>
      </c>
      <c r="N45" t="s">
        <v>24</v>
      </c>
      <c r="O45" t="s">
        <v>29</v>
      </c>
      <c r="P45" s="2">
        <v>1084.81</v>
      </c>
      <c r="Q45" t="s">
        <v>52</v>
      </c>
      <c r="R45" s="1">
        <v>44978</v>
      </c>
      <c r="S45" s="1"/>
    </row>
    <row r="46" spans="1:19" x14ac:dyDescent="0.3">
      <c r="A46">
        <v>17238</v>
      </c>
      <c r="B46" t="s">
        <v>35</v>
      </c>
      <c r="C46" t="s">
        <v>17</v>
      </c>
      <c r="D46">
        <v>80000</v>
      </c>
      <c r="E46" t="str">
        <f>IF(Sales_Data[[#This Row],[Income]]&lt;=20000,"Low Income",IF(Sales_Data[[#This Row],[Income]]&lt;=40000,"Lower Middle",IF(Sales_Data[[#This Row],[Income]]&lt;=60000,"Middle Income",IF(Sales_Data[[#This Row],[Income]]&lt;=80000,"Upper Middle","High Income"))))</f>
        <v>Upper Middle</v>
      </c>
      <c r="F46">
        <v>0</v>
      </c>
      <c r="G46" t="s">
        <v>19</v>
      </c>
      <c r="H46" t="s">
        <v>31</v>
      </c>
      <c r="I46" t="s">
        <v>21</v>
      </c>
      <c r="J46">
        <v>3</v>
      </c>
      <c r="K46" t="s">
        <v>53</v>
      </c>
      <c r="L46" t="s">
        <v>37</v>
      </c>
      <c r="M46">
        <v>32</v>
      </c>
      <c r="N46" t="s">
        <v>38</v>
      </c>
      <c r="O46" t="s">
        <v>54</v>
      </c>
      <c r="P46" s="2">
        <v>1368.87</v>
      </c>
      <c r="Q46" t="s">
        <v>52</v>
      </c>
      <c r="R46" s="1">
        <v>44973</v>
      </c>
      <c r="S46" s="1"/>
    </row>
    <row r="47" spans="1:19" x14ac:dyDescent="0.3">
      <c r="A47">
        <v>17230</v>
      </c>
      <c r="B47" t="s">
        <v>17</v>
      </c>
      <c r="C47" t="s">
        <v>17</v>
      </c>
      <c r="D47">
        <v>80000</v>
      </c>
      <c r="E47" t="str">
        <f>IF(Sales_Data[[#This Row],[Income]]&lt;=20000,"Low Income",IF(Sales_Data[[#This Row],[Income]]&lt;=40000,"Lower Middle",IF(Sales_Data[[#This Row],[Income]]&lt;=60000,"Middle Income",IF(Sales_Data[[#This Row],[Income]]&lt;=80000,"Upper Middle","High Income"))))</f>
        <v>Upper Middle</v>
      </c>
      <c r="F47">
        <v>0</v>
      </c>
      <c r="G47" t="s">
        <v>19</v>
      </c>
      <c r="H47" t="s">
        <v>31</v>
      </c>
      <c r="I47" t="s">
        <v>21</v>
      </c>
      <c r="J47">
        <v>3</v>
      </c>
      <c r="K47" t="s">
        <v>53</v>
      </c>
      <c r="L47" t="s">
        <v>37</v>
      </c>
      <c r="M47">
        <v>30</v>
      </c>
      <c r="N47" t="s">
        <v>24</v>
      </c>
      <c r="O47" t="s">
        <v>55</v>
      </c>
      <c r="P47" s="2">
        <v>3760.76</v>
      </c>
      <c r="Q47" t="s">
        <v>59</v>
      </c>
      <c r="R47" s="1">
        <v>45042</v>
      </c>
      <c r="S47" s="1"/>
    </row>
    <row r="48" spans="1:19" x14ac:dyDescent="0.3">
      <c r="A48">
        <v>22918</v>
      </c>
      <c r="B48" t="s">
        <v>35</v>
      </c>
      <c r="C48" t="s">
        <v>17</v>
      </c>
      <c r="D48">
        <v>80000</v>
      </c>
      <c r="E48" t="str">
        <f>IF(Sales_Data[[#This Row],[Income]]&lt;=20000,"Low Income",IF(Sales_Data[[#This Row],[Income]]&lt;=40000,"Lower Middle",IF(Sales_Data[[#This Row],[Income]]&lt;=60000,"Middle Income",IF(Sales_Data[[#This Row],[Income]]&lt;=80000,"Upper Middle","High Income"))))</f>
        <v>Upper Middle</v>
      </c>
      <c r="F48">
        <v>5</v>
      </c>
      <c r="G48" t="s">
        <v>61</v>
      </c>
      <c r="H48" t="s">
        <v>46</v>
      </c>
      <c r="I48" t="s">
        <v>21</v>
      </c>
      <c r="J48">
        <v>3</v>
      </c>
      <c r="K48" t="s">
        <v>22</v>
      </c>
      <c r="L48" t="s">
        <v>37</v>
      </c>
      <c r="M48">
        <v>50</v>
      </c>
      <c r="N48" t="s">
        <v>24</v>
      </c>
      <c r="O48" t="s">
        <v>29</v>
      </c>
      <c r="P48" s="2">
        <v>7137.11</v>
      </c>
      <c r="Q48" t="s">
        <v>57</v>
      </c>
      <c r="R48" s="1">
        <v>45224</v>
      </c>
      <c r="S48" s="1"/>
    </row>
    <row r="49" spans="1:19" x14ac:dyDescent="0.3">
      <c r="A49">
        <v>16179</v>
      </c>
      <c r="B49" t="s">
        <v>35</v>
      </c>
      <c r="C49" t="s">
        <v>18</v>
      </c>
      <c r="D49">
        <v>80000</v>
      </c>
      <c r="E49" t="str">
        <f>IF(Sales_Data[[#This Row],[Income]]&lt;=20000,"Low Income",IF(Sales_Data[[#This Row],[Income]]&lt;=40000,"Lower Middle",IF(Sales_Data[[#This Row],[Income]]&lt;=60000,"Middle Income",IF(Sales_Data[[#This Row],[Income]]&lt;=80000,"Upper Middle","High Income"))))</f>
        <v>Upper Middle</v>
      </c>
      <c r="F49">
        <v>5</v>
      </c>
      <c r="G49" t="s">
        <v>19</v>
      </c>
      <c r="H49" t="s">
        <v>31</v>
      </c>
      <c r="I49" t="s">
        <v>21</v>
      </c>
      <c r="J49">
        <v>4</v>
      </c>
      <c r="K49" t="s">
        <v>43</v>
      </c>
      <c r="L49" t="s">
        <v>37</v>
      </c>
      <c r="M49">
        <v>38</v>
      </c>
      <c r="N49" t="s">
        <v>24</v>
      </c>
      <c r="O49" t="s">
        <v>49</v>
      </c>
      <c r="P49" s="2">
        <v>2084.4499999999998</v>
      </c>
      <c r="Q49" t="s">
        <v>51</v>
      </c>
      <c r="R49" s="1">
        <v>45089</v>
      </c>
      <c r="S49" s="1"/>
    </row>
    <row r="50" spans="1:19" x14ac:dyDescent="0.3">
      <c r="A50">
        <v>13620</v>
      </c>
      <c r="B50" t="s">
        <v>35</v>
      </c>
      <c r="C50" t="s">
        <v>17</v>
      </c>
      <c r="D50">
        <v>70000</v>
      </c>
      <c r="E50" t="str">
        <f>IF(Sales_Data[[#This Row],[Income]]&lt;=20000,"Low Income",IF(Sales_Data[[#This Row],[Income]]&lt;=40000,"Lower Middle",IF(Sales_Data[[#This Row],[Income]]&lt;=60000,"Middle Income",IF(Sales_Data[[#This Row],[Income]]&lt;=80000,"Upper Middle","High Income"))))</f>
        <v>Upper Middle</v>
      </c>
      <c r="F50">
        <v>0</v>
      </c>
      <c r="G50" t="s">
        <v>19</v>
      </c>
      <c r="H50" t="s">
        <v>31</v>
      </c>
      <c r="I50" t="s">
        <v>32</v>
      </c>
      <c r="J50">
        <v>3</v>
      </c>
      <c r="K50" t="s">
        <v>53</v>
      </c>
      <c r="L50" t="s">
        <v>37</v>
      </c>
      <c r="M50">
        <v>30</v>
      </c>
      <c r="N50" t="s">
        <v>24</v>
      </c>
      <c r="O50" t="s">
        <v>55</v>
      </c>
      <c r="P50" s="2">
        <v>1881.43</v>
      </c>
      <c r="Q50" t="s">
        <v>26</v>
      </c>
      <c r="R50" s="1">
        <v>45284</v>
      </c>
      <c r="S50" s="1"/>
    </row>
    <row r="51" spans="1:19" x14ac:dyDescent="0.3">
      <c r="A51">
        <v>13586</v>
      </c>
      <c r="B51" t="s">
        <v>17</v>
      </c>
      <c r="C51" t="s">
        <v>17</v>
      </c>
      <c r="D51">
        <v>80000</v>
      </c>
      <c r="E51" t="str">
        <f>IF(Sales_Data[[#This Row],[Income]]&lt;=20000,"Low Income",IF(Sales_Data[[#This Row],[Income]]&lt;=40000,"Lower Middle",IF(Sales_Data[[#This Row],[Income]]&lt;=60000,"Middle Income",IF(Sales_Data[[#This Row],[Income]]&lt;=80000,"Upper Middle","High Income"))))</f>
        <v>Upper Middle</v>
      </c>
      <c r="F51">
        <v>4</v>
      </c>
      <c r="G51" t="s">
        <v>27</v>
      </c>
      <c r="H51" t="s">
        <v>31</v>
      </c>
      <c r="I51" t="s">
        <v>21</v>
      </c>
      <c r="J51">
        <v>2</v>
      </c>
      <c r="K51" t="s">
        <v>53</v>
      </c>
      <c r="L51" t="s">
        <v>23</v>
      </c>
      <c r="M51">
        <v>53</v>
      </c>
      <c r="N51" t="s">
        <v>24</v>
      </c>
      <c r="O51" t="s">
        <v>29</v>
      </c>
      <c r="P51" s="2">
        <v>8173.09</v>
      </c>
      <c r="Q51" t="s">
        <v>30</v>
      </c>
      <c r="R51" s="1">
        <v>44987</v>
      </c>
      <c r="S51" s="1"/>
    </row>
    <row r="52" spans="1:19" x14ac:dyDescent="0.3">
      <c r="A52">
        <v>13122</v>
      </c>
      <c r="B52" t="s">
        <v>17</v>
      </c>
      <c r="C52" t="s">
        <v>18</v>
      </c>
      <c r="D52">
        <v>80000</v>
      </c>
      <c r="E52" t="str">
        <f>IF(Sales_Data[[#This Row],[Income]]&lt;=20000,"Low Income",IF(Sales_Data[[#This Row],[Income]]&lt;=40000,"Lower Middle",IF(Sales_Data[[#This Row],[Income]]&lt;=60000,"Middle Income",IF(Sales_Data[[#This Row],[Income]]&lt;=80000,"Upper Middle","High Income"))))</f>
        <v>Upper Middle</v>
      </c>
      <c r="F52">
        <v>0</v>
      </c>
      <c r="G52" t="s">
        <v>19</v>
      </c>
      <c r="H52" t="s">
        <v>31</v>
      </c>
      <c r="I52" t="s">
        <v>21</v>
      </c>
      <c r="J52">
        <v>1</v>
      </c>
      <c r="K52" t="s">
        <v>43</v>
      </c>
      <c r="L52" t="s">
        <v>37</v>
      </c>
      <c r="M52">
        <v>41</v>
      </c>
      <c r="N52" t="s">
        <v>38</v>
      </c>
      <c r="O52" t="s">
        <v>62</v>
      </c>
      <c r="P52" s="2">
        <v>3213.25</v>
      </c>
      <c r="Q52" t="s">
        <v>59</v>
      </c>
      <c r="R52" s="1">
        <v>45033</v>
      </c>
      <c r="S52" s="1"/>
    </row>
    <row r="53" spans="1:19" x14ac:dyDescent="0.3">
      <c r="A53">
        <v>21184</v>
      </c>
      <c r="B53" t="s">
        <v>35</v>
      </c>
      <c r="C53" t="s">
        <v>17</v>
      </c>
      <c r="D53">
        <v>70000</v>
      </c>
      <c r="E53" t="str">
        <f>IF(Sales_Data[[#This Row],[Income]]&lt;=20000,"Low Income",IF(Sales_Data[[#This Row],[Income]]&lt;=40000,"Lower Middle",IF(Sales_Data[[#This Row],[Income]]&lt;=60000,"Middle Income",IF(Sales_Data[[#This Row],[Income]]&lt;=80000,"Upper Middle","High Income"))))</f>
        <v>Upper Middle</v>
      </c>
      <c r="F53">
        <v>0</v>
      </c>
      <c r="G53" t="s">
        <v>19</v>
      </c>
      <c r="H53" t="s">
        <v>31</v>
      </c>
      <c r="I53" t="s">
        <v>32</v>
      </c>
      <c r="J53">
        <v>1</v>
      </c>
      <c r="K53" t="s">
        <v>36</v>
      </c>
      <c r="L53" t="s">
        <v>37</v>
      </c>
      <c r="M53">
        <v>38</v>
      </c>
      <c r="N53" t="s">
        <v>38</v>
      </c>
      <c r="O53" t="s">
        <v>41</v>
      </c>
      <c r="P53" s="2">
        <v>6481.97</v>
      </c>
      <c r="Q53" t="s">
        <v>57</v>
      </c>
      <c r="R53" s="1">
        <v>45225</v>
      </c>
      <c r="S53" s="1"/>
    </row>
    <row r="54" spans="1:19" x14ac:dyDescent="0.3">
      <c r="A54">
        <v>26150</v>
      </c>
      <c r="B54" t="s">
        <v>35</v>
      </c>
      <c r="C54" t="s">
        <v>18</v>
      </c>
      <c r="D54">
        <v>70000</v>
      </c>
      <c r="E54" t="str">
        <f>IF(Sales_Data[[#This Row],[Income]]&lt;=20000,"Low Income",IF(Sales_Data[[#This Row],[Income]]&lt;=40000,"Lower Middle",IF(Sales_Data[[#This Row],[Income]]&lt;=60000,"Middle Income",IF(Sales_Data[[#This Row],[Income]]&lt;=80000,"Upper Middle","High Income"))))</f>
        <v>Upper Middle</v>
      </c>
      <c r="F54">
        <v>0</v>
      </c>
      <c r="G54" t="s">
        <v>19</v>
      </c>
      <c r="H54" t="s">
        <v>31</v>
      </c>
      <c r="I54" t="s">
        <v>32</v>
      </c>
      <c r="J54">
        <v>1</v>
      </c>
      <c r="K54" t="s">
        <v>22</v>
      </c>
      <c r="L54" t="s">
        <v>37</v>
      </c>
      <c r="M54">
        <v>41</v>
      </c>
      <c r="N54" t="s">
        <v>38</v>
      </c>
      <c r="O54" t="s">
        <v>54</v>
      </c>
      <c r="P54" s="2">
        <v>4910.38</v>
      </c>
      <c r="Q54" t="s">
        <v>30</v>
      </c>
      <c r="R54" s="1">
        <v>44988</v>
      </c>
      <c r="S54" s="1"/>
    </row>
    <row r="55" spans="1:19" x14ac:dyDescent="0.3">
      <c r="A55">
        <v>11116</v>
      </c>
      <c r="B55" t="s">
        <v>17</v>
      </c>
      <c r="C55" t="s">
        <v>17</v>
      </c>
      <c r="D55">
        <v>70000</v>
      </c>
      <c r="E55" t="str">
        <f>IF(Sales_Data[[#This Row],[Income]]&lt;=20000,"Low Income",IF(Sales_Data[[#This Row],[Income]]&lt;=40000,"Lower Middle",IF(Sales_Data[[#This Row],[Income]]&lt;=60000,"Middle Income",IF(Sales_Data[[#This Row],[Income]]&lt;=80000,"Upper Middle","High Income"))))</f>
        <v>Upper Middle</v>
      </c>
      <c r="F55">
        <v>5</v>
      </c>
      <c r="G55" t="s">
        <v>27</v>
      </c>
      <c r="H55" t="s">
        <v>20</v>
      </c>
      <c r="I55" t="s">
        <v>21</v>
      </c>
      <c r="J55">
        <v>2</v>
      </c>
      <c r="K55" t="s">
        <v>36</v>
      </c>
      <c r="L55" t="s">
        <v>37</v>
      </c>
      <c r="M55">
        <v>43</v>
      </c>
      <c r="N55" t="s">
        <v>24</v>
      </c>
      <c r="O55" t="s">
        <v>25</v>
      </c>
      <c r="P55" s="2">
        <v>5562.31</v>
      </c>
      <c r="Q55" t="s">
        <v>40</v>
      </c>
      <c r="R55" s="1">
        <v>45054</v>
      </c>
      <c r="S55" s="1"/>
    </row>
    <row r="56" spans="1:19" x14ac:dyDescent="0.3">
      <c r="A56">
        <v>13961</v>
      </c>
      <c r="B56" t="s">
        <v>17</v>
      </c>
      <c r="C56" t="s">
        <v>18</v>
      </c>
      <c r="D56">
        <v>80000</v>
      </c>
      <c r="E56" t="str">
        <f>IF(Sales_Data[[#This Row],[Income]]&lt;=20000,"Low Income",IF(Sales_Data[[#This Row],[Income]]&lt;=40000,"Lower Middle",IF(Sales_Data[[#This Row],[Income]]&lt;=60000,"Middle Income",IF(Sales_Data[[#This Row],[Income]]&lt;=80000,"Upper Middle","High Income"))))</f>
        <v>Upper Middle</v>
      </c>
      <c r="F56">
        <v>5</v>
      </c>
      <c r="G56" t="s">
        <v>61</v>
      </c>
      <c r="H56" t="s">
        <v>46</v>
      </c>
      <c r="I56" t="s">
        <v>21</v>
      </c>
      <c r="J56">
        <v>3</v>
      </c>
      <c r="K56" t="s">
        <v>22</v>
      </c>
      <c r="L56" t="s">
        <v>37</v>
      </c>
      <c r="M56">
        <v>40</v>
      </c>
      <c r="N56" t="s">
        <v>24</v>
      </c>
      <c r="O56" t="s">
        <v>34</v>
      </c>
      <c r="P56" s="2">
        <v>692.77</v>
      </c>
      <c r="Q56" t="s">
        <v>51</v>
      </c>
      <c r="R56" s="1">
        <v>45089</v>
      </c>
      <c r="S56" s="1"/>
    </row>
    <row r="57" spans="1:19" x14ac:dyDescent="0.3">
      <c r="A57">
        <v>19784</v>
      </c>
      <c r="B57" t="s">
        <v>17</v>
      </c>
      <c r="C57" t="s">
        <v>18</v>
      </c>
      <c r="D57">
        <v>80000</v>
      </c>
      <c r="E57" t="str">
        <f>IF(Sales_Data[[#This Row],[Income]]&lt;=20000,"Low Income",IF(Sales_Data[[#This Row],[Income]]&lt;=40000,"Lower Middle",IF(Sales_Data[[#This Row],[Income]]&lt;=60000,"Middle Income",IF(Sales_Data[[#This Row],[Income]]&lt;=80000,"Upper Middle","High Income"))))</f>
        <v>Upper Middle</v>
      </c>
      <c r="F57">
        <v>2</v>
      </c>
      <c r="G57" t="s">
        <v>45</v>
      </c>
      <c r="H57" t="s">
        <v>20</v>
      </c>
      <c r="I57" t="s">
        <v>21</v>
      </c>
      <c r="J57">
        <v>2</v>
      </c>
      <c r="K57" t="s">
        <v>36</v>
      </c>
      <c r="L57" t="s">
        <v>37</v>
      </c>
      <c r="M57">
        <v>50</v>
      </c>
      <c r="N57" t="s">
        <v>38</v>
      </c>
      <c r="O57" t="s">
        <v>47</v>
      </c>
      <c r="P57" s="2">
        <v>5433.06</v>
      </c>
      <c r="Q57" t="s">
        <v>52</v>
      </c>
      <c r="R57" s="1">
        <v>44961</v>
      </c>
      <c r="S57" s="1"/>
    </row>
    <row r="58" spans="1:19" x14ac:dyDescent="0.3">
      <c r="A58">
        <v>24093</v>
      </c>
      <c r="B58" t="s">
        <v>35</v>
      </c>
      <c r="C58" t="s">
        <v>18</v>
      </c>
      <c r="D58">
        <v>80000</v>
      </c>
      <c r="E58" t="str">
        <f>IF(Sales_Data[[#This Row],[Income]]&lt;=20000,"Low Income",IF(Sales_Data[[#This Row],[Income]]&lt;=40000,"Lower Middle",IF(Sales_Data[[#This Row],[Income]]&lt;=60000,"Middle Income",IF(Sales_Data[[#This Row],[Income]]&lt;=80000,"Upper Middle","High Income"))))</f>
        <v>Upper Middle</v>
      </c>
      <c r="F58">
        <v>0</v>
      </c>
      <c r="G58" t="s">
        <v>61</v>
      </c>
      <c r="H58" t="s">
        <v>20</v>
      </c>
      <c r="I58" t="s">
        <v>32</v>
      </c>
      <c r="J58">
        <v>0</v>
      </c>
      <c r="K58" t="s">
        <v>22</v>
      </c>
      <c r="L58" t="s">
        <v>23</v>
      </c>
      <c r="M58">
        <v>40</v>
      </c>
      <c r="N58" t="s">
        <v>38</v>
      </c>
      <c r="O58" t="s">
        <v>47</v>
      </c>
      <c r="P58" s="2">
        <v>4504.41</v>
      </c>
      <c r="Q58" t="s">
        <v>48</v>
      </c>
      <c r="R58" s="1">
        <v>45155</v>
      </c>
      <c r="S58" s="1"/>
    </row>
    <row r="59" spans="1:19" x14ac:dyDescent="0.3">
      <c r="A59">
        <v>19618</v>
      </c>
      <c r="B59" t="s">
        <v>17</v>
      </c>
      <c r="C59" t="s">
        <v>17</v>
      </c>
      <c r="D59">
        <v>70000</v>
      </c>
      <c r="E59" t="str">
        <f>IF(Sales_Data[[#This Row],[Income]]&lt;=20000,"Low Income",IF(Sales_Data[[#This Row],[Income]]&lt;=40000,"Lower Middle",IF(Sales_Data[[#This Row],[Income]]&lt;=60000,"Middle Income",IF(Sales_Data[[#This Row],[Income]]&lt;=80000,"Upper Middle","High Income"))))</f>
        <v>Upper Middle</v>
      </c>
      <c r="F59">
        <v>5</v>
      </c>
      <c r="G59" t="s">
        <v>27</v>
      </c>
      <c r="H59" t="s">
        <v>20</v>
      </c>
      <c r="I59" t="s">
        <v>21</v>
      </c>
      <c r="J59">
        <v>2</v>
      </c>
      <c r="K59" t="s">
        <v>22</v>
      </c>
      <c r="L59" t="s">
        <v>37</v>
      </c>
      <c r="M59">
        <v>44</v>
      </c>
      <c r="N59" t="s">
        <v>24</v>
      </c>
      <c r="O59" t="s">
        <v>49</v>
      </c>
      <c r="P59" s="2">
        <v>9272.34</v>
      </c>
      <c r="Q59" t="s">
        <v>56</v>
      </c>
      <c r="R59" s="1">
        <v>45197</v>
      </c>
      <c r="S59" s="1"/>
    </row>
    <row r="60" spans="1:19" x14ac:dyDescent="0.3">
      <c r="A60">
        <v>11061</v>
      </c>
      <c r="B60" t="s">
        <v>17</v>
      </c>
      <c r="C60" t="s">
        <v>17</v>
      </c>
      <c r="D60">
        <v>70000</v>
      </c>
      <c r="E60" t="str">
        <f>IF(Sales_Data[[#This Row],[Income]]&lt;=20000,"Low Income",IF(Sales_Data[[#This Row],[Income]]&lt;=40000,"Lower Middle",IF(Sales_Data[[#This Row],[Income]]&lt;=60000,"Middle Income",IF(Sales_Data[[#This Row],[Income]]&lt;=80000,"Upper Middle","High Income"))))</f>
        <v>Upper Middle</v>
      </c>
      <c r="F60">
        <v>2</v>
      </c>
      <c r="G60" t="s">
        <v>27</v>
      </c>
      <c r="H60" t="s">
        <v>20</v>
      </c>
      <c r="I60" t="s">
        <v>21</v>
      </c>
      <c r="J60">
        <v>2</v>
      </c>
      <c r="K60" t="s">
        <v>36</v>
      </c>
      <c r="L60" t="s">
        <v>37</v>
      </c>
      <c r="M60">
        <v>52</v>
      </c>
      <c r="N60" t="s">
        <v>24</v>
      </c>
      <c r="O60" t="s">
        <v>29</v>
      </c>
      <c r="P60" s="2">
        <v>9403.4500000000007</v>
      </c>
      <c r="Q60" t="s">
        <v>48</v>
      </c>
      <c r="R60" s="1">
        <v>45150</v>
      </c>
      <c r="S60" s="1"/>
    </row>
    <row r="61" spans="1:19" x14ac:dyDescent="0.3">
      <c r="A61">
        <v>26651</v>
      </c>
      <c r="B61" t="s">
        <v>35</v>
      </c>
      <c r="C61" t="s">
        <v>17</v>
      </c>
      <c r="D61">
        <v>80000</v>
      </c>
      <c r="E61" t="str">
        <f>IF(Sales_Data[[#This Row],[Income]]&lt;=20000,"Low Income",IF(Sales_Data[[#This Row],[Income]]&lt;=40000,"Lower Middle",IF(Sales_Data[[#This Row],[Income]]&lt;=60000,"Middle Income",IF(Sales_Data[[#This Row],[Income]]&lt;=80000,"Upper Middle","High Income"))))</f>
        <v>Upper Middle</v>
      </c>
      <c r="F61">
        <v>4</v>
      </c>
      <c r="G61" t="s">
        <v>61</v>
      </c>
      <c r="H61" t="s">
        <v>46</v>
      </c>
      <c r="I61" t="s">
        <v>21</v>
      </c>
      <c r="J61">
        <v>0</v>
      </c>
      <c r="K61" t="s">
        <v>22</v>
      </c>
      <c r="L61" t="s">
        <v>37</v>
      </c>
      <c r="M61">
        <v>36</v>
      </c>
      <c r="N61" t="s">
        <v>24</v>
      </c>
      <c r="O61" t="s">
        <v>34</v>
      </c>
      <c r="P61" s="2">
        <v>7298.46</v>
      </c>
      <c r="Q61" t="s">
        <v>48</v>
      </c>
      <c r="R61" s="1">
        <v>45149</v>
      </c>
      <c r="S61" s="1"/>
    </row>
    <row r="62" spans="1:19" x14ac:dyDescent="0.3">
      <c r="A62">
        <v>26765</v>
      </c>
      <c r="B62" t="s">
        <v>35</v>
      </c>
      <c r="C62" t="s">
        <v>18</v>
      </c>
      <c r="D62">
        <v>70000</v>
      </c>
      <c r="E62" t="str">
        <f>IF(Sales_Data[[#This Row],[Income]]&lt;=20000,"Low Income",IF(Sales_Data[[#This Row],[Income]]&lt;=40000,"Lower Middle",IF(Sales_Data[[#This Row],[Income]]&lt;=60000,"Middle Income",IF(Sales_Data[[#This Row],[Income]]&lt;=80000,"Upper Middle","High Income"))))</f>
        <v>Upper Middle</v>
      </c>
      <c r="F62">
        <v>5</v>
      </c>
      <c r="G62" t="s">
        <v>27</v>
      </c>
      <c r="H62" t="s">
        <v>20</v>
      </c>
      <c r="I62" t="s">
        <v>21</v>
      </c>
      <c r="J62">
        <v>2</v>
      </c>
      <c r="K62" t="s">
        <v>36</v>
      </c>
      <c r="L62" t="s">
        <v>37</v>
      </c>
      <c r="M62">
        <v>45</v>
      </c>
      <c r="N62" t="s">
        <v>24</v>
      </c>
      <c r="O62" t="s">
        <v>49</v>
      </c>
      <c r="P62" s="2">
        <v>162.94</v>
      </c>
      <c r="Q62" t="s">
        <v>48</v>
      </c>
      <c r="R62" s="1">
        <v>45155</v>
      </c>
      <c r="S62" s="1"/>
    </row>
    <row r="63" spans="1:19" x14ac:dyDescent="0.3">
      <c r="A63">
        <v>13585</v>
      </c>
      <c r="B63" t="s">
        <v>17</v>
      </c>
      <c r="C63" t="s">
        <v>18</v>
      </c>
      <c r="D63">
        <v>80000</v>
      </c>
      <c r="E63" t="str">
        <f>IF(Sales_Data[[#This Row],[Income]]&lt;=20000,"Low Income",IF(Sales_Data[[#This Row],[Income]]&lt;=40000,"Lower Middle",IF(Sales_Data[[#This Row],[Income]]&lt;=60000,"Middle Income",IF(Sales_Data[[#This Row],[Income]]&lt;=80000,"Upper Middle","High Income"))))</f>
        <v>Upper Middle</v>
      </c>
      <c r="F63">
        <v>4</v>
      </c>
      <c r="G63" t="s">
        <v>27</v>
      </c>
      <c r="H63" t="s">
        <v>31</v>
      </c>
      <c r="I63" t="s">
        <v>32</v>
      </c>
      <c r="J63">
        <v>1</v>
      </c>
      <c r="K63" t="s">
        <v>33</v>
      </c>
      <c r="L63" t="s">
        <v>23</v>
      </c>
      <c r="M63">
        <v>53</v>
      </c>
      <c r="N63" t="s">
        <v>24</v>
      </c>
      <c r="O63" t="s">
        <v>29</v>
      </c>
      <c r="P63" s="2">
        <v>3001.07</v>
      </c>
      <c r="Q63" t="s">
        <v>56</v>
      </c>
      <c r="R63" s="1">
        <v>45171</v>
      </c>
      <c r="S63" s="1"/>
    </row>
    <row r="64" spans="1:19" x14ac:dyDescent="0.3">
      <c r="A64">
        <v>21554</v>
      </c>
      <c r="B64" t="s">
        <v>35</v>
      </c>
      <c r="C64" t="s">
        <v>18</v>
      </c>
      <c r="D64">
        <v>80000</v>
      </c>
      <c r="E64" t="str">
        <f>IF(Sales_Data[[#This Row],[Income]]&lt;=20000,"Low Income",IF(Sales_Data[[#This Row],[Income]]&lt;=40000,"Lower Middle",IF(Sales_Data[[#This Row],[Income]]&lt;=60000,"Middle Income",IF(Sales_Data[[#This Row],[Income]]&lt;=80000,"Upper Middle","High Income"))))</f>
        <v>Upper Middle</v>
      </c>
      <c r="F64">
        <v>0</v>
      </c>
      <c r="G64" t="s">
        <v>19</v>
      </c>
      <c r="H64" t="s">
        <v>31</v>
      </c>
      <c r="I64" t="s">
        <v>32</v>
      </c>
      <c r="J64">
        <v>3</v>
      </c>
      <c r="K64" t="s">
        <v>53</v>
      </c>
      <c r="L64" t="s">
        <v>37</v>
      </c>
      <c r="M64">
        <v>33</v>
      </c>
      <c r="N64" t="s">
        <v>24</v>
      </c>
      <c r="O64" t="s">
        <v>34</v>
      </c>
      <c r="P64" s="2">
        <v>1942.95</v>
      </c>
      <c r="Q64" t="s">
        <v>59</v>
      </c>
      <c r="R64" s="1">
        <v>45035</v>
      </c>
      <c r="S64" s="1"/>
    </row>
    <row r="65" spans="1:19" x14ac:dyDescent="0.3">
      <c r="A65">
        <v>18253</v>
      </c>
      <c r="B65" t="s">
        <v>17</v>
      </c>
      <c r="C65" t="s">
        <v>18</v>
      </c>
      <c r="D65">
        <v>80000</v>
      </c>
      <c r="E65" t="str">
        <f>IF(Sales_Data[[#This Row],[Income]]&lt;=20000,"Low Income",IF(Sales_Data[[#This Row],[Income]]&lt;=40000,"Lower Middle",IF(Sales_Data[[#This Row],[Income]]&lt;=60000,"Middle Income",IF(Sales_Data[[#This Row],[Income]]&lt;=80000,"Upper Middle","High Income"))))</f>
        <v>Upper Middle</v>
      </c>
      <c r="F65">
        <v>5</v>
      </c>
      <c r="G65" t="s">
        <v>61</v>
      </c>
      <c r="H65" t="s">
        <v>46</v>
      </c>
      <c r="I65" t="s">
        <v>21</v>
      </c>
      <c r="J65">
        <v>3</v>
      </c>
      <c r="K65" t="s">
        <v>22</v>
      </c>
      <c r="L65" t="s">
        <v>37</v>
      </c>
      <c r="M65">
        <v>40</v>
      </c>
      <c r="N65" t="s">
        <v>38</v>
      </c>
      <c r="O65" t="s">
        <v>54</v>
      </c>
      <c r="P65" s="2">
        <v>5018.91</v>
      </c>
      <c r="Q65" t="s">
        <v>44</v>
      </c>
      <c r="R65" s="1">
        <v>44946</v>
      </c>
      <c r="S65" s="1"/>
    </row>
    <row r="66" spans="1:19" x14ac:dyDescent="0.3">
      <c r="A66">
        <v>28323</v>
      </c>
      <c r="B66" t="s">
        <v>35</v>
      </c>
      <c r="C66" t="s">
        <v>17</v>
      </c>
      <c r="D66">
        <v>70000</v>
      </c>
      <c r="E66" t="str">
        <f>IF(Sales_Data[[#This Row],[Income]]&lt;=20000,"Low Income",IF(Sales_Data[[#This Row],[Income]]&lt;=40000,"Lower Middle",IF(Sales_Data[[#This Row],[Income]]&lt;=60000,"Middle Income",IF(Sales_Data[[#This Row],[Income]]&lt;=80000,"Upper Middle","High Income"))))</f>
        <v>Upper Middle</v>
      </c>
      <c r="F66">
        <v>0</v>
      </c>
      <c r="G66" t="s">
        <v>19</v>
      </c>
      <c r="H66" t="s">
        <v>31</v>
      </c>
      <c r="I66" t="s">
        <v>32</v>
      </c>
      <c r="J66">
        <v>2</v>
      </c>
      <c r="K66" t="s">
        <v>36</v>
      </c>
      <c r="L66" t="s">
        <v>37</v>
      </c>
      <c r="M66">
        <v>43</v>
      </c>
      <c r="N66" t="s">
        <v>24</v>
      </c>
      <c r="O66" t="s">
        <v>49</v>
      </c>
      <c r="P66" s="2">
        <v>1506.44</v>
      </c>
      <c r="Q66" t="s">
        <v>56</v>
      </c>
      <c r="R66" s="1">
        <v>45175</v>
      </c>
      <c r="S66" s="1"/>
    </row>
    <row r="67" spans="1:19" x14ac:dyDescent="0.3">
      <c r="A67">
        <v>21974</v>
      </c>
      <c r="B67" t="s">
        <v>35</v>
      </c>
      <c r="C67" t="s">
        <v>18</v>
      </c>
      <c r="D67">
        <v>70000</v>
      </c>
      <c r="E67" t="str">
        <f>IF(Sales_Data[[#This Row],[Income]]&lt;=20000,"Low Income",IF(Sales_Data[[#This Row],[Income]]&lt;=40000,"Lower Middle",IF(Sales_Data[[#This Row],[Income]]&lt;=60000,"Middle Income",IF(Sales_Data[[#This Row],[Income]]&lt;=80000,"Upper Middle","High Income"))))</f>
        <v>Upper Middle</v>
      </c>
      <c r="F67">
        <v>0</v>
      </c>
      <c r="G67" t="s">
        <v>19</v>
      </c>
      <c r="H67" t="s">
        <v>31</v>
      </c>
      <c r="I67" t="s">
        <v>21</v>
      </c>
      <c r="J67">
        <v>1</v>
      </c>
      <c r="K67" t="s">
        <v>36</v>
      </c>
      <c r="L67" t="s">
        <v>37</v>
      </c>
      <c r="M67">
        <v>42</v>
      </c>
      <c r="N67" t="s">
        <v>38</v>
      </c>
      <c r="O67" t="s">
        <v>39</v>
      </c>
      <c r="P67" s="2">
        <v>5480.44</v>
      </c>
      <c r="Q67" t="s">
        <v>57</v>
      </c>
      <c r="R67" s="1">
        <v>45228</v>
      </c>
      <c r="S67" s="1"/>
    </row>
    <row r="68" spans="1:19" x14ac:dyDescent="0.3">
      <c r="A68">
        <v>14032</v>
      </c>
      <c r="B68" t="s">
        <v>17</v>
      </c>
      <c r="C68" t="s">
        <v>17</v>
      </c>
      <c r="D68">
        <v>70000</v>
      </c>
      <c r="E68" t="str">
        <f>IF(Sales_Data[[#This Row],[Income]]&lt;=20000,"Low Income",IF(Sales_Data[[#This Row],[Income]]&lt;=40000,"Lower Middle",IF(Sales_Data[[#This Row],[Income]]&lt;=60000,"Middle Income",IF(Sales_Data[[#This Row],[Income]]&lt;=80000,"Upper Middle","High Income"))))</f>
        <v>Upper Middle</v>
      </c>
      <c r="F68">
        <v>2</v>
      </c>
      <c r="G68" t="s">
        <v>45</v>
      </c>
      <c r="H68" t="s">
        <v>20</v>
      </c>
      <c r="I68" t="s">
        <v>32</v>
      </c>
      <c r="J68">
        <v>2</v>
      </c>
      <c r="K68" t="s">
        <v>43</v>
      </c>
      <c r="L68" t="s">
        <v>37</v>
      </c>
      <c r="M68">
        <v>50</v>
      </c>
      <c r="N68" t="s">
        <v>24</v>
      </c>
      <c r="O68" t="s">
        <v>25</v>
      </c>
      <c r="P68" s="2">
        <v>8833.1</v>
      </c>
      <c r="Q68" t="s">
        <v>40</v>
      </c>
      <c r="R68" s="1">
        <v>45071</v>
      </c>
      <c r="S68" s="1"/>
    </row>
    <row r="69" spans="1:19" x14ac:dyDescent="0.3">
      <c r="A69">
        <v>25065</v>
      </c>
      <c r="B69" t="s">
        <v>17</v>
      </c>
      <c r="C69" t="s">
        <v>17</v>
      </c>
      <c r="D69">
        <v>70000</v>
      </c>
      <c r="E69" t="str">
        <f>IF(Sales_Data[[#This Row],[Income]]&lt;=20000,"Low Income",IF(Sales_Data[[#This Row],[Income]]&lt;=40000,"Lower Middle",IF(Sales_Data[[#This Row],[Income]]&lt;=60000,"Middle Income",IF(Sales_Data[[#This Row],[Income]]&lt;=80000,"Upper Middle","High Income"))))</f>
        <v>Upper Middle</v>
      </c>
      <c r="F69">
        <v>2</v>
      </c>
      <c r="G69" t="s">
        <v>50</v>
      </c>
      <c r="H69" t="s">
        <v>20</v>
      </c>
      <c r="I69" t="s">
        <v>21</v>
      </c>
      <c r="J69">
        <v>2</v>
      </c>
      <c r="K69" t="s">
        <v>36</v>
      </c>
      <c r="L69" t="s">
        <v>63</v>
      </c>
      <c r="M69">
        <v>48</v>
      </c>
      <c r="N69" t="s">
        <v>38</v>
      </c>
      <c r="O69" t="s">
        <v>41</v>
      </c>
      <c r="P69" s="2">
        <v>4367.95</v>
      </c>
      <c r="Q69" t="s">
        <v>30</v>
      </c>
      <c r="R69" s="1">
        <v>45013</v>
      </c>
      <c r="S69" s="1"/>
    </row>
    <row r="70" spans="1:19" x14ac:dyDescent="0.3">
      <c r="A70">
        <v>23707</v>
      </c>
      <c r="B70" t="s">
        <v>35</v>
      </c>
      <c r="C70" t="s">
        <v>17</v>
      </c>
      <c r="D70">
        <v>70000</v>
      </c>
      <c r="E70" t="str">
        <f>IF(Sales_Data[[#This Row],[Income]]&lt;=20000,"Low Income",IF(Sales_Data[[#This Row],[Income]]&lt;=40000,"Lower Middle",IF(Sales_Data[[#This Row],[Income]]&lt;=60000,"Middle Income",IF(Sales_Data[[#This Row],[Income]]&lt;=80000,"Upper Middle","High Income"))))</f>
        <v>Upper Middle</v>
      </c>
      <c r="F70">
        <v>5</v>
      </c>
      <c r="G70" t="s">
        <v>19</v>
      </c>
      <c r="H70" t="s">
        <v>46</v>
      </c>
      <c r="I70" t="s">
        <v>21</v>
      </c>
      <c r="J70">
        <v>3</v>
      </c>
      <c r="K70" t="s">
        <v>53</v>
      </c>
      <c r="L70" t="s">
        <v>63</v>
      </c>
      <c r="M70">
        <v>60</v>
      </c>
      <c r="N70" t="s">
        <v>24</v>
      </c>
      <c r="O70" t="s">
        <v>29</v>
      </c>
      <c r="P70" s="2">
        <v>5440.84</v>
      </c>
      <c r="Q70" t="s">
        <v>30</v>
      </c>
      <c r="R70" s="1">
        <v>45002</v>
      </c>
      <c r="S70" s="1"/>
    </row>
    <row r="71" spans="1:19" x14ac:dyDescent="0.3">
      <c r="A71">
        <v>27650</v>
      </c>
      <c r="B71" t="s">
        <v>17</v>
      </c>
      <c r="C71" t="s">
        <v>17</v>
      </c>
      <c r="D71">
        <v>70000</v>
      </c>
      <c r="E71" t="str">
        <f>IF(Sales_Data[[#This Row],[Income]]&lt;=20000,"Low Income",IF(Sales_Data[[#This Row],[Income]]&lt;=40000,"Lower Middle",IF(Sales_Data[[#This Row],[Income]]&lt;=60000,"Middle Income",IF(Sales_Data[[#This Row],[Income]]&lt;=80000,"Upper Middle","High Income"))))</f>
        <v>Upper Middle</v>
      </c>
      <c r="F71">
        <v>4</v>
      </c>
      <c r="G71" t="s">
        <v>45</v>
      </c>
      <c r="H71" t="s">
        <v>31</v>
      </c>
      <c r="I71" t="s">
        <v>21</v>
      </c>
      <c r="J71">
        <v>0</v>
      </c>
      <c r="K71" t="s">
        <v>36</v>
      </c>
      <c r="L71" t="s">
        <v>63</v>
      </c>
      <c r="M71">
        <v>51</v>
      </c>
      <c r="N71" t="s">
        <v>24</v>
      </c>
      <c r="O71" t="s">
        <v>25</v>
      </c>
      <c r="P71" s="2">
        <v>2455.11</v>
      </c>
      <c r="Q71" t="s">
        <v>26</v>
      </c>
      <c r="R71" s="1">
        <v>45270</v>
      </c>
      <c r="S71" s="1"/>
    </row>
    <row r="72" spans="1:19" x14ac:dyDescent="0.3">
      <c r="A72">
        <v>15302</v>
      </c>
      <c r="B72" t="s">
        <v>35</v>
      </c>
      <c r="C72" t="s">
        <v>18</v>
      </c>
      <c r="D72">
        <v>70000</v>
      </c>
      <c r="E72" t="str">
        <f>IF(Sales_Data[[#This Row],[Income]]&lt;=20000,"Low Income",IF(Sales_Data[[#This Row],[Income]]&lt;=40000,"Lower Middle",IF(Sales_Data[[#This Row],[Income]]&lt;=60000,"Middle Income",IF(Sales_Data[[#This Row],[Income]]&lt;=80000,"Upper Middle","High Income"))))</f>
        <v>Upper Middle</v>
      </c>
      <c r="F72">
        <v>1</v>
      </c>
      <c r="G72" t="s">
        <v>61</v>
      </c>
      <c r="H72" t="s">
        <v>31</v>
      </c>
      <c r="I72" t="s">
        <v>21</v>
      </c>
      <c r="J72">
        <v>0</v>
      </c>
      <c r="K72" t="s">
        <v>33</v>
      </c>
      <c r="L72" t="s">
        <v>63</v>
      </c>
      <c r="M72">
        <v>34</v>
      </c>
      <c r="N72" t="s">
        <v>24</v>
      </c>
      <c r="O72" t="s">
        <v>25</v>
      </c>
      <c r="P72" s="2">
        <v>1488.1</v>
      </c>
      <c r="Q72" t="s">
        <v>51</v>
      </c>
      <c r="R72" s="1">
        <v>45104</v>
      </c>
      <c r="S72" s="1"/>
    </row>
    <row r="73" spans="1:19" x14ac:dyDescent="0.3">
      <c r="A73">
        <v>26012</v>
      </c>
      <c r="B73" t="s">
        <v>17</v>
      </c>
      <c r="C73" t="s">
        <v>17</v>
      </c>
      <c r="D73">
        <v>80000</v>
      </c>
      <c r="E73" t="str">
        <f>IF(Sales_Data[[#This Row],[Income]]&lt;=20000,"Low Income",IF(Sales_Data[[#This Row],[Income]]&lt;=40000,"Lower Middle",IF(Sales_Data[[#This Row],[Income]]&lt;=60000,"Middle Income",IF(Sales_Data[[#This Row],[Income]]&lt;=80000,"Upper Middle","High Income"))))</f>
        <v>Upper Middle</v>
      </c>
      <c r="F73">
        <v>1</v>
      </c>
      <c r="G73" t="s">
        <v>27</v>
      </c>
      <c r="H73" t="s">
        <v>20</v>
      </c>
      <c r="I73" t="s">
        <v>21</v>
      </c>
      <c r="J73">
        <v>1</v>
      </c>
      <c r="K73" t="s">
        <v>33</v>
      </c>
      <c r="L73" t="s">
        <v>63</v>
      </c>
      <c r="M73">
        <v>48</v>
      </c>
      <c r="N73" t="s">
        <v>24</v>
      </c>
      <c r="O73" t="s">
        <v>25</v>
      </c>
      <c r="P73" s="2">
        <v>5995.31</v>
      </c>
      <c r="Q73" t="s">
        <v>40</v>
      </c>
      <c r="R73" s="1">
        <v>45057</v>
      </c>
      <c r="S73" s="1"/>
    </row>
    <row r="74" spans="1:19" x14ac:dyDescent="0.3">
      <c r="A74">
        <v>25405</v>
      </c>
      <c r="B74" t="s">
        <v>17</v>
      </c>
      <c r="C74" t="s">
        <v>17</v>
      </c>
      <c r="D74">
        <v>70000</v>
      </c>
      <c r="E74" t="str">
        <f>IF(Sales_Data[[#This Row],[Income]]&lt;=20000,"Low Income",IF(Sales_Data[[#This Row],[Income]]&lt;=40000,"Lower Middle",IF(Sales_Data[[#This Row],[Income]]&lt;=60000,"Middle Income",IF(Sales_Data[[#This Row],[Income]]&lt;=80000,"Upper Middle","High Income"))))</f>
        <v>Upper Middle</v>
      </c>
      <c r="F74">
        <v>2</v>
      </c>
      <c r="G74" t="s">
        <v>19</v>
      </c>
      <c r="H74" t="s">
        <v>20</v>
      </c>
      <c r="I74" t="s">
        <v>21</v>
      </c>
      <c r="J74">
        <v>1</v>
      </c>
      <c r="K74" t="s">
        <v>33</v>
      </c>
      <c r="L74" t="s">
        <v>63</v>
      </c>
      <c r="M74">
        <v>38</v>
      </c>
      <c r="N74" t="s">
        <v>24</v>
      </c>
      <c r="O74" t="s">
        <v>49</v>
      </c>
      <c r="P74" s="2">
        <v>3405.87</v>
      </c>
      <c r="Q74" t="s">
        <v>44</v>
      </c>
      <c r="R74" s="1">
        <v>44951</v>
      </c>
      <c r="S74" s="1"/>
    </row>
    <row r="75" spans="1:19" x14ac:dyDescent="0.3">
      <c r="A75">
        <v>25074</v>
      </c>
      <c r="B75" t="s">
        <v>17</v>
      </c>
      <c r="C75" t="s">
        <v>18</v>
      </c>
      <c r="D75">
        <v>70000</v>
      </c>
      <c r="E75" t="str">
        <f>IF(Sales_Data[[#This Row],[Income]]&lt;=20000,"Low Income",IF(Sales_Data[[#This Row],[Income]]&lt;=40000,"Lower Middle",IF(Sales_Data[[#This Row],[Income]]&lt;=60000,"Middle Income",IF(Sales_Data[[#This Row],[Income]]&lt;=80000,"Upper Middle","High Income"))))</f>
        <v>Upper Middle</v>
      </c>
      <c r="F75">
        <v>4</v>
      </c>
      <c r="G75" t="s">
        <v>19</v>
      </c>
      <c r="H75" t="s">
        <v>31</v>
      </c>
      <c r="I75" t="s">
        <v>21</v>
      </c>
      <c r="J75">
        <v>2</v>
      </c>
      <c r="K75" t="s">
        <v>33</v>
      </c>
      <c r="L75" t="s">
        <v>63</v>
      </c>
      <c r="M75">
        <v>42</v>
      </c>
      <c r="N75" t="s">
        <v>38</v>
      </c>
      <c r="O75" t="s">
        <v>41</v>
      </c>
      <c r="P75" s="2">
        <v>6943.9</v>
      </c>
      <c r="Q75" t="s">
        <v>51</v>
      </c>
      <c r="R75" s="1">
        <v>45099</v>
      </c>
      <c r="S75" s="1"/>
    </row>
    <row r="76" spans="1:19" x14ac:dyDescent="0.3">
      <c r="A76">
        <v>24357</v>
      </c>
      <c r="B76" t="s">
        <v>17</v>
      </c>
      <c r="C76" t="s">
        <v>17</v>
      </c>
      <c r="D76">
        <v>80000</v>
      </c>
      <c r="E76" t="str">
        <f>IF(Sales_Data[[#This Row],[Income]]&lt;=20000,"Low Income",IF(Sales_Data[[#This Row],[Income]]&lt;=40000,"Lower Middle",IF(Sales_Data[[#This Row],[Income]]&lt;=60000,"Middle Income",IF(Sales_Data[[#This Row],[Income]]&lt;=80000,"Upper Middle","High Income"))))</f>
        <v>Upper Middle</v>
      </c>
      <c r="F76">
        <v>3</v>
      </c>
      <c r="G76" t="s">
        <v>19</v>
      </c>
      <c r="H76" t="s">
        <v>31</v>
      </c>
      <c r="I76" t="s">
        <v>21</v>
      </c>
      <c r="J76">
        <v>1</v>
      </c>
      <c r="K76" t="s">
        <v>33</v>
      </c>
      <c r="L76" t="s">
        <v>63</v>
      </c>
      <c r="M76">
        <v>48</v>
      </c>
      <c r="N76" t="s">
        <v>38</v>
      </c>
      <c r="O76" t="s">
        <v>62</v>
      </c>
      <c r="P76" s="2">
        <v>7242.16</v>
      </c>
      <c r="Q76" t="s">
        <v>52</v>
      </c>
      <c r="R76" s="1">
        <v>44963</v>
      </c>
      <c r="S76" s="1"/>
    </row>
    <row r="77" spans="1:19" x14ac:dyDescent="0.3">
      <c r="A77">
        <v>18613</v>
      </c>
      <c r="B77" t="s">
        <v>35</v>
      </c>
      <c r="C77" t="s">
        <v>17</v>
      </c>
      <c r="D77">
        <v>70000</v>
      </c>
      <c r="E77" t="str">
        <f>IF(Sales_Data[[#This Row],[Income]]&lt;=20000,"Low Income",IF(Sales_Data[[#This Row],[Income]]&lt;=40000,"Lower Middle",IF(Sales_Data[[#This Row],[Income]]&lt;=60000,"Middle Income",IF(Sales_Data[[#This Row],[Income]]&lt;=80000,"Upper Middle","High Income"))))</f>
        <v>Upper Middle</v>
      </c>
      <c r="F77">
        <v>0</v>
      </c>
      <c r="G77" t="s">
        <v>19</v>
      </c>
      <c r="H77" t="s">
        <v>31</v>
      </c>
      <c r="I77" t="s">
        <v>32</v>
      </c>
      <c r="J77">
        <v>1</v>
      </c>
      <c r="K77" t="s">
        <v>33</v>
      </c>
      <c r="L77" t="s">
        <v>63</v>
      </c>
      <c r="M77">
        <v>37</v>
      </c>
      <c r="N77" t="s">
        <v>38</v>
      </c>
      <c r="O77" t="s">
        <v>62</v>
      </c>
      <c r="P77" s="2">
        <v>9544.58</v>
      </c>
      <c r="Q77" t="s">
        <v>59</v>
      </c>
      <c r="R77" s="1">
        <v>45026</v>
      </c>
      <c r="S77" s="1"/>
    </row>
    <row r="78" spans="1:19" x14ac:dyDescent="0.3">
      <c r="A78">
        <v>12207</v>
      </c>
      <c r="B78" t="s">
        <v>35</v>
      </c>
      <c r="C78" t="s">
        <v>17</v>
      </c>
      <c r="D78">
        <v>80000</v>
      </c>
      <c r="E78" t="str">
        <f>IF(Sales_Data[[#This Row],[Income]]&lt;=20000,"Low Income",IF(Sales_Data[[#This Row],[Income]]&lt;=40000,"Lower Middle",IF(Sales_Data[[#This Row],[Income]]&lt;=60000,"Middle Income",IF(Sales_Data[[#This Row],[Income]]&lt;=80000,"Upper Middle","High Income"))))</f>
        <v>Upper Middle</v>
      </c>
      <c r="F78">
        <v>4</v>
      </c>
      <c r="G78" t="s">
        <v>19</v>
      </c>
      <c r="H78" t="s">
        <v>46</v>
      </c>
      <c r="I78" t="s">
        <v>21</v>
      </c>
      <c r="J78">
        <v>0</v>
      </c>
      <c r="K78" t="s">
        <v>36</v>
      </c>
      <c r="L78" t="s">
        <v>63</v>
      </c>
      <c r="M78">
        <v>66</v>
      </c>
      <c r="N78" t="s">
        <v>38</v>
      </c>
      <c r="O78" t="s">
        <v>39</v>
      </c>
      <c r="P78" s="2">
        <v>2721.82</v>
      </c>
      <c r="Q78" t="s">
        <v>30</v>
      </c>
      <c r="R78" s="1">
        <v>45014</v>
      </c>
      <c r="S78" s="1"/>
    </row>
    <row r="79" spans="1:19" x14ac:dyDescent="0.3">
      <c r="A79">
        <v>16154</v>
      </c>
      <c r="B79" t="s">
        <v>17</v>
      </c>
      <c r="C79" t="s">
        <v>18</v>
      </c>
      <c r="D79">
        <v>70000</v>
      </c>
      <c r="E79" t="str">
        <f>IF(Sales_Data[[#This Row],[Income]]&lt;=20000,"Low Income",IF(Sales_Data[[#This Row],[Income]]&lt;=40000,"Lower Middle",IF(Sales_Data[[#This Row],[Income]]&lt;=60000,"Middle Income",IF(Sales_Data[[#This Row],[Income]]&lt;=80000,"Upper Middle","High Income"))))</f>
        <v>Upper Middle</v>
      </c>
      <c r="F79">
        <v>5</v>
      </c>
      <c r="G79" t="s">
        <v>19</v>
      </c>
      <c r="H79" t="s">
        <v>31</v>
      </c>
      <c r="I79" t="s">
        <v>21</v>
      </c>
      <c r="J79">
        <v>2</v>
      </c>
      <c r="K79" t="s">
        <v>33</v>
      </c>
      <c r="L79" t="s">
        <v>63</v>
      </c>
      <c r="M79">
        <v>47</v>
      </c>
      <c r="N79" t="s">
        <v>24</v>
      </c>
      <c r="O79" t="s">
        <v>29</v>
      </c>
      <c r="P79" s="2">
        <v>3430.57</v>
      </c>
      <c r="Q79" t="s">
        <v>30</v>
      </c>
      <c r="R79" s="1">
        <v>44997</v>
      </c>
      <c r="S79" s="1"/>
    </row>
    <row r="80" spans="1:19" x14ac:dyDescent="0.3">
      <c r="A80">
        <v>23586</v>
      </c>
      <c r="B80" t="s">
        <v>17</v>
      </c>
      <c r="C80" t="s">
        <v>18</v>
      </c>
      <c r="D80">
        <v>80000</v>
      </c>
      <c r="E80" t="str">
        <f>IF(Sales_Data[[#This Row],[Income]]&lt;=20000,"Low Income",IF(Sales_Data[[#This Row],[Income]]&lt;=40000,"Lower Middle",IF(Sales_Data[[#This Row],[Income]]&lt;=60000,"Middle Income",IF(Sales_Data[[#This Row],[Income]]&lt;=80000,"Upper Middle","High Income"))))</f>
        <v>Upper Middle</v>
      </c>
      <c r="F80">
        <v>0</v>
      </c>
      <c r="G80" t="s">
        <v>19</v>
      </c>
      <c r="H80" t="s">
        <v>46</v>
      </c>
      <c r="I80" t="s">
        <v>21</v>
      </c>
      <c r="J80">
        <v>1</v>
      </c>
      <c r="K80" t="s">
        <v>43</v>
      </c>
      <c r="L80" t="s">
        <v>63</v>
      </c>
      <c r="M80">
        <v>34</v>
      </c>
      <c r="N80" t="s">
        <v>24</v>
      </c>
      <c r="O80" t="s">
        <v>25</v>
      </c>
      <c r="P80" s="2">
        <v>9745.07</v>
      </c>
      <c r="Q80" t="s">
        <v>56</v>
      </c>
      <c r="R80" s="1">
        <v>45196</v>
      </c>
      <c r="S80" s="1"/>
    </row>
    <row r="81" spans="1:19" x14ac:dyDescent="0.3">
      <c r="A81">
        <v>15740</v>
      </c>
      <c r="B81" t="s">
        <v>17</v>
      </c>
      <c r="C81" t="s">
        <v>17</v>
      </c>
      <c r="D81">
        <v>80000</v>
      </c>
      <c r="E81" t="str">
        <f>IF(Sales_Data[[#This Row],[Income]]&lt;=20000,"Low Income",IF(Sales_Data[[#This Row],[Income]]&lt;=40000,"Lower Middle",IF(Sales_Data[[#This Row],[Income]]&lt;=60000,"Middle Income",IF(Sales_Data[[#This Row],[Income]]&lt;=80000,"Upper Middle","High Income"))))</f>
        <v>Upper Middle</v>
      </c>
      <c r="F81">
        <v>5</v>
      </c>
      <c r="G81" t="s">
        <v>19</v>
      </c>
      <c r="H81" t="s">
        <v>46</v>
      </c>
      <c r="I81" t="s">
        <v>21</v>
      </c>
      <c r="J81">
        <v>2</v>
      </c>
      <c r="K81" t="s">
        <v>43</v>
      </c>
      <c r="L81" t="s">
        <v>63</v>
      </c>
      <c r="M81">
        <v>64</v>
      </c>
      <c r="N81" t="s">
        <v>24</v>
      </c>
      <c r="O81" t="s">
        <v>55</v>
      </c>
      <c r="P81" s="2">
        <v>3712.5</v>
      </c>
      <c r="Q81" t="s">
        <v>58</v>
      </c>
      <c r="R81" s="1">
        <v>45131</v>
      </c>
      <c r="S81" s="1"/>
    </row>
    <row r="82" spans="1:19" x14ac:dyDescent="0.3">
      <c r="A82">
        <v>13283</v>
      </c>
      <c r="B82" t="s">
        <v>17</v>
      </c>
      <c r="C82" t="s">
        <v>17</v>
      </c>
      <c r="D82">
        <v>80000</v>
      </c>
      <c r="E82" t="str">
        <f>IF(Sales_Data[[#This Row],[Income]]&lt;=20000,"Low Income",IF(Sales_Data[[#This Row],[Income]]&lt;=40000,"Lower Middle",IF(Sales_Data[[#This Row],[Income]]&lt;=60000,"Middle Income",IF(Sales_Data[[#This Row],[Income]]&lt;=80000,"Upper Middle","High Income"))))</f>
        <v>Upper Middle</v>
      </c>
      <c r="F82">
        <v>3</v>
      </c>
      <c r="G82" t="s">
        <v>27</v>
      </c>
      <c r="H82" t="s">
        <v>31</v>
      </c>
      <c r="I82" t="s">
        <v>32</v>
      </c>
      <c r="J82">
        <v>2</v>
      </c>
      <c r="K82" t="s">
        <v>22</v>
      </c>
      <c r="L82" t="s">
        <v>63</v>
      </c>
      <c r="M82">
        <v>49</v>
      </c>
      <c r="N82" t="s">
        <v>38</v>
      </c>
      <c r="O82" t="s">
        <v>47</v>
      </c>
      <c r="P82" s="2">
        <v>942.14</v>
      </c>
      <c r="Q82" t="s">
        <v>30</v>
      </c>
      <c r="R82" s="1">
        <v>44998</v>
      </c>
      <c r="S82" s="1"/>
    </row>
    <row r="83" spans="1:19" x14ac:dyDescent="0.3">
      <c r="A83">
        <v>17471</v>
      </c>
      <c r="B83" t="s">
        <v>35</v>
      </c>
      <c r="C83" t="s">
        <v>18</v>
      </c>
      <c r="D83">
        <v>80000</v>
      </c>
      <c r="E83" t="str">
        <f>IF(Sales_Data[[#This Row],[Income]]&lt;=20000,"Low Income",IF(Sales_Data[[#This Row],[Income]]&lt;=40000,"Lower Middle",IF(Sales_Data[[#This Row],[Income]]&lt;=60000,"Middle Income",IF(Sales_Data[[#This Row],[Income]]&lt;=80000,"Upper Middle","High Income"))))</f>
        <v>Upper Middle</v>
      </c>
      <c r="F83">
        <v>4</v>
      </c>
      <c r="G83" t="s">
        <v>61</v>
      </c>
      <c r="H83" t="s">
        <v>46</v>
      </c>
      <c r="I83" t="s">
        <v>21</v>
      </c>
      <c r="J83">
        <v>2</v>
      </c>
      <c r="K83" t="s">
        <v>36</v>
      </c>
      <c r="L83" t="s">
        <v>63</v>
      </c>
      <c r="M83">
        <v>67</v>
      </c>
      <c r="N83" t="s">
        <v>38</v>
      </c>
      <c r="O83" t="s">
        <v>41</v>
      </c>
      <c r="P83" s="2">
        <v>8409.02</v>
      </c>
      <c r="Q83" t="s">
        <v>57</v>
      </c>
      <c r="R83" s="1">
        <v>45229</v>
      </c>
      <c r="S83" s="1"/>
    </row>
    <row r="84" spans="1:19" x14ac:dyDescent="0.3">
      <c r="A84">
        <v>13907</v>
      </c>
      <c r="B84" t="s">
        <v>35</v>
      </c>
      <c r="C84" t="s">
        <v>18</v>
      </c>
      <c r="D84">
        <v>80000</v>
      </c>
      <c r="E84" t="str">
        <f>IF(Sales_Data[[#This Row],[Income]]&lt;=20000,"Low Income",IF(Sales_Data[[#This Row],[Income]]&lt;=40000,"Lower Middle",IF(Sales_Data[[#This Row],[Income]]&lt;=60000,"Middle Income",IF(Sales_Data[[#This Row],[Income]]&lt;=80000,"Upper Middle","High Income"))))</f>
        <v>Upper Middle</v>
      </c>
      <c r="F84">
        <v>3</v>
      </c>
      <c r="G84" t="s">
        <v>19</v>
      </c>
      <c r="H84" t="s">
        <v>20</v>
      </c>
      <c r="I84" t="s">
        <v>21</v>
      </c>
      <c r="J84">
        <v>1</v>
      </c>
      <c r="K84" t="s">
        <v>22</v>
      </c>
      <c r="L84" t="s">
        <v>63</v>
      </c>
      <c r="M84">
        <v>41</v>
      </c>
      <c r="N84" t="s">
        <v>24</v>
      </c>
      <c r="O84" t="s">
        <v>49</v>
      </c>
      <c r="P84" s="2">
        <v>9232.19</v>
      </c>
      <c r="Q84" t="s">
        <v>48</v>
      </c>
      <c r="R84" s="1">
        <v>45149</v>
      </c>
      <c r="S84" s="1"/>
    </row>
    <row r="85" spans="1:19" x14ac:dyDescent="0.3">
      <c r="A85">
        <v>11262</v>
      </c>
      <c r="B85" t="s">
        <v>17</v>
      </c>
      <c r="C85" t="s">
        <v>18</v>
      </c>
      <c r="D85">
        <v>80000</v>
      </c>
      <c r="E85" t="str">
        <f>IF(Sales_Data[[#This Row],[Income]]&lt;=20000,"Low Income",IF(Sales_Data[[#This Row],[Income]]&lt;=40000,"Lower Middle",IF(Sales_Data[[#This Row],[Income]]&lt;=60000,"Middle Income",IF(Sales_Data[[#This Row],[Income]]&lt;=80000,"Upper Middle","High Income"))))</f>
        <v>Upper Middle</v>
      </c>
      <c r="F85">
        <v>4</v>
      </c>
      <c r="G85" t="s">
        <v>19</v>
      </c>
      <c r="H85" t="s">
        <v>46</v>
      </c>
      <c r="I85" t="s">
        <v>21</v>
      </c>
      <c r="J85">
        <v>0</v>
      </c>
      <c r="K85" t="s">
        <v>22</v>
      </c>
      <c r="L85" t="s">
        <v>63</v>
      </c>
      <c r="M85">
        <v>42</v>
      </c>
      <c r="N85" t="s">
        <v>24</v>
      </c>
      <c r="O85" t="s">
        <v>25</v>
      </c>
      <c r="P85" s="2">
        <v>2733.34</v>
      </c>
      <c r="Q85" t="s">
        <v>58</v>
      </c>
      <c r="R85" s="1">
        <v>45133</v>
      </c>
      <c r="S85" s="1"/>
    </row>
    <row r="86" spans="1:19" x14ac:dyDescent="0.3">
      <c r="A86">
        <v>22294</v>
      </c>
      <c r="B86" t="s">
        <v>35</v>
      </c>
      <c r="C86" t="s">
        <v>18</v>
      </c>
      <c r="D86">
        <v>70000</v>
      </c>
      <c r="E86" t="str">
        <f>IF(Sales_Data[[#This Row],[Income]]&lt;=20000,"Low Income",IF(Sales_Data[[#This Row],[Income]]&lt;=40000,"Lower Middle",IF(Sales_Data[[#This Row],[Income]]&lt;=60000,"Middle Income",IF(Sales_Data[[#This Row],[Income]]&lt;=80000,"Upper Middle","High Income"))))</f>
        <v>Upper Middle</v>
      </c>
      <c r="F86">
        <v>0</v>
      </c>
      <c r="G86" t="s">
        <v>19</v>
      </c>
      <c r="H86" t="s">
        <v>31</v>
      </c>
      <c r="I86" t="s">
        <v>32</v>
      </c>
      <c r="J86">
        <v>1</v>
      </c>
      <c r="K86" t="s">
        <v>33</v>
      </c>
      <c r="L86" t="s">
        <v>63</v>
      </c>
      <c r="M86">
        <v>37</v>
      </c>
      <c r="N86" t="s">
        <v>38</v>
      </c>
      <c r="O86" t="s">
        <v>39</v>
      </c>
      <c r="P86" s="2">
        <v>8376.31</v>
      </c>
      <c r="Q86" t="s">
        <v>58</v>
      </c>
      <c r="R86" s="1">
        <v>45136</v>
      </c>
      <c r="S86" s="1"/>
    </row>
    <row r="87" spans="1:19" x14ac:dyDescent="0.3">
      <c r="A87">
        <v>12195</v>
      </c>
      <c r="B87" t="s">
        <v>35</v>
      </c>
      <c r="C87" t="s">
        <v>18</v>
      </c>
      <c r="D87">
        <v>70000</v>
      </c>
      <c r="E87" t="str">
        <f>IF(Sales_Data[[#This Row],[Income]]&lt;=20000,"Low Income",IF(Sales_Data[[#This Row],[Income]]&lt;=40000,"Lower Middle",IF(Sales_Data[[#This Row],[Income]]&lt;=60000,"Middle Income",IF(Sales_Data[[#This Row],[Income]]&lt;=80000,"Upper Middle","High Income"))))</f>
        <v>Upper Middle</v>
      </c>
      <c r="F87">
        <v>3</v>
      </c>
      <c r="G87" t="s">
        <v>61</v>
      </c>
      <c r="H87" t="s">
        <v>46</v>
      </c>
      <c r="I87" t="s">
        <v>21</v>
      </c>
      <c r="J87">
        <v>2</v>
      </c>
      <c r="K87" t="s">
        <v>43</v>
      </c>
      <c r="L87" t="s">
        <v>63</v>
      </c>
      <c r="M87">
        <v>52</v>
      </c>
      <c r="N87" t="s">
        <v>24</v>
      </c>
      <c r="O87" t="s">
        <v>25</v>
      </c>
      <c r="P87" s="2">
        <v>1038.43</v>
      </c>
      <c r="Q87" t="s">
        <v>26</v>
      </c>
      <c r="R87" s="1">
        <v>45290</v>
      </c>
      <c r="S87" s="1"/>
    </row>
    <row r="88" spans="1:19" x14ac:dyDescent="0.3">
      <c r="A88">
        <v>25898</v>
      </c>
      <c r="B88" t="s">
        <v>17</v>
      </c>
      <c r="C88" t="s">
        <v>18</v>
      </c>
      <c r="D88">
        <v>70000</v>
      </c>
      <c r="E88" t="str">
        <f>IF(Sales_Data[[#This Row],[Income]]&lt;=20000,"Low Income",IF(Sales_Data[[#This Row],[Income]]&lt;=40000,"Lower Middle",IF(Sales_Data[[#This Row],[Income]]&lt;=60000,"Middle Income",IF(Sales_Data[[#This Row],[Income]]&lt;=80000,"Upper Middle","High Income"))))</f>
        <v>Upper Middle</v>
      </c>
      <c r="F88">
        <v>2</v>
      </c>
      <c r="G88" t="s">
        <v>45</v>
      </c>
      <c r="H88" t="s">
        <v>31</v>
      </c>
      <c r="I88" t="s">
        <v>21</v>
      </c>
      <c r="J88">
        <v>2</v>
      </c>
      <c r="K88" t="s">
        <v>33</v>
      </c>
      <c r="L88" t="s">
        <v>63</v>
      </c>
      <c r="M88">
        <v>53</v>
      </c>
      <c r="N88" t="s">
        <v>24</v>
      </c>
      <c r="O88" t="s">
        <v>25</v>
      </c>
      <c r="P88" s="2">
        <v>1016.84</v>
      </c>
      <c r="Q88" t="s">
        <v>60</v>
      </c>
      <c r="R88" s="1">
        <v>45235</v>
      </c>
      <c r="S88" s="1"/>
    </row>
    <row r="89" spans="1:19" x14ac:dyDescent="0.3">
      <c r="A89">
        <v>18674</v>
      </c>
      <c r="B89" t="s">
        <v>35</v>
      </c>
      <c r="C89" t="s">
        <v>18</v>
      </c>
      <c r="D89">
        <v>80000</v>
      </c>
      <c r="E89" t="str">
        <f>IF(Sales_Data[[#This Row],[Income]]&lt;=20000,"Low Income",IF(Sales_Data[[#This Row],[Income]]&lt;=40000,"Lower Middle",IF(Sales_Data[[#This Row],[Income]]&lt;=60000,"Middle Income",IF(Sales_Data[[#This Row],[Income]]&lt;=80000,"Upper Middle","High Income"))))</f>
        <v>Upper Middle</v>
      </c>
      <c r="F89">
        <v>4</v>
      </c>
      <c r="G89" t="s">
        <v>61</v>
      </c>
      <c r="H89" t="s">
        <v>20</v>
      </c>
      <c r="I89" t="s">
        <v>32</v>
      </c>
      <c r="J89">
        <v>0</v>
      </c>
      <c r="K89" t="s">
        <v>22</v>
      </c>
      <c r="L89" t="s">
        <v>63</v>
      </c>
      <c r="M89">
        <v>48</v>
      </c>
      <c r="N89" t="s">
        <v>24</v>
      </c>
      <c r="O89" t="s">
        <v>49</v>
      </c>
      <c r="P89" s="2">
        <v>3446.9</v>
      </c>
      <c r="Q89" t="s">
        <v>40</v>
      </c>
      <c r="R89" s="1">
        <v>45062</v>
      </c>
      <c r="S89" s="1"/>
    </row>
    <row r="90" spans="1:19" x14ac:dyDescent="0.3">
      <c r="A90">
        <v>14063</v>
      </c>
      <c r="B90" t="s">
        <v>35</v>
      </c>
      <c r="C90" t="s">
        <v>18</v>
      </c>
      <c r="D90">
        <v>70000</v>
      </c>
      <c r="E90" t="str">
        <f>IF(Sales_Data[[#This Row],[Income]]&lt;=20000,"Low Income",IF(Sales_Data[[#This Row],[Income]]&lt;=40000,"Lower Middle",IF(Sales_Data[[#This Row],[Income]]&lt;=60000,"Middle Income",IF(Sales_Data[[#This Row],[Income]]&lt;=80000,"Upper Middle","High Income"))))</f>
        <v>Upper Middle</v>
      </c>
      <c r="F90">
        <v>0</v>
      </c>
      <c r="G90" t="s">
        <v>19</v>
      </c>
      <c r="H90" t="s">
        <v>31</v>
      </c>
      <c r="I90" t="s">
        <v>32</v>
      </c>
      <c r="J90">
        <v>1</v>
      </c>
      <c r="K90" t="s">
        <v>22</v>
      </c>
      <c r="L90" t="s">
        <v>37</v>
      </c>
      <c r="M90">
        <v>42</v>
      </c>
      <c r="N90" t="s">
        <v>24</v>
      </c>
      <c r="O90" t="s">
        <v>25</v>
      </c>
      <c r="P90" s="2">
        <v>1321.86</v>
      </c>
      <c r="Q90" t="s">
        <v>59</v>
      </c>
      <c r="R90" s="1">
        <v>45041</v>
      </c>
      <c r="S90" s="1"/>
    </row>
    <row r="91" spans="1:19" x14ac:dyDescent="0.3">
      <c r="A91">
        <v>25293</v>
      </c>
      <c r="B91" t="s">
        <v>17</v>
      </c>
      <c r="C91" t="s">
        <v>17</v>
      </c>
      <c r="D91">
        <v>80000</v>
      </c>
      <c r="E91" t="str">
        <f>IF(Sales_Data[[#This Row],[Income]]&lt;=20000,"Low Income",IF(Sales_Data[[#This Row],[Income]]&lt;=40000,"Lower Middle",IF(Sales_Data[[#This Row],[Income]]&lt;=60000,"Middle Income",IF(Sales_Data[[#This Row],[Income]]&lt;=80000,"Upper Middle","High Income"))))</f>
        <v>Upper Middle</v>
      </c>
      <c r="F91">
        <v>4</v>
      </c>
      <c r="G91" t="s">
        <v>19</v>
      </c>
      <c r="H91" t="s">
        <v>46</v>
      </c>
      <c r="I91" t="s">
        <v>21</v>
      </c>
      <c r="J91">
        <v>0</v>
      </c>
      <c r="K91" t="s">
        <v>43</v>
      </c>
      <c r="L91" t="s">
        <v>63</v>
      </c>
      <c r="M91">
        <v>42</v>
      </c>
      <c r="N91" t="s">
        <v>24</v>
      </c>
      <c r="O91" t="s">
        <v>55</v>
      </c>
      <c r="P91" s="2">
        <v>679.71</v>
      </c>
      <c r="Q91" t="s">
        <v>52</v>
      </c>
      <c r="R91" s="1">
        <v>44962</v>
      </c>
      <c r="S91" s="1"/>
    </row>
    <row r="92" spans="1:19" x14ac:dyDescent="0.3">
      <c r="A92">
        <v>18560</v>
      </c>
      <c r="B92" t="s">
        <v>17</v>
      </c>
      <c r="C92" t="s">
        <v>18</v>
      </c>
      <c r="D92">
        <v>70000</v>
      </c>
      <c r="E92" t="str">
        <f>IF(Sales_Data[[#This Row],[Income]]&lt;=20000,"Low Income",IF(Sales_Data[[#This Row],[Income]]&lt;=40000,"Lower Middle",IF(Sales_Data[[#This Row],[Income]]&lt;=60000,"Middle Income",IF(Sales_Data[[#This Row],[Income]]&lt;=80000,"Upper Middle","High Income"))))</f>
        <v>Upper Middle</v>
      </c>
      <c r="F92">
        <v>2</v>
      </c>
      <c r="G92" t="s">
        <v>61</v>
      </c>
      <c r="H92" t="s">
        <v>31</v>
      </c>
      <c r="I92" t="s">
        <v>21</v>
      </c>
      <c r="J92">
        <v>0</v>
      </c>
      <c r="K92" t="s">
        <v>33</v>
      </c>
      <c r="L92" t="s">
        <v>63</v>
      </c>
      <c r="M92">
        <v>34</v>
      </c>
      <c r="N92" t="s">
        <v>24</v>
      </c>
      <c r="O92" t="s">
        <v>25</v>
      </c>
      <c r="P92" s="2">
        <v>7963.6</v>
      </c>
      <c r="Q92" t="s">
        <v>60</v>
      </c>
      <c r="R92" s="1">
        <v>45241</v>
      </c>
      <c r="S92" s="1"/>
    </row>
    <row r="93" spans="1:19" x14ac:dyDescent="0.3">
      <c r="A93">
        <v>23378</v>
      </c>
      <c r="B93" t="s">
        <v>17</v>
      </c>
      <c r="C93" t="s">
        <v>17</v>
      </c>
      <c r="D93">
        <v>70000</v>
      </c>
      <c r="E93" t="str">
        <f>IF(Sales_Data[[#This Row],[Income]]&lt;=20000,"Low Income",IF(Sales_Data[[#This Row],[Income]]&lt;=40000,"Lower Middle",IF(Sales_Data[[#This Row],[Income]]&lt;=60000,"Middle Income",IF(Sales_Data[[#This Row],[Income]]&lt;=80000,"Upper Middle","High Income"))))</f>
        <v>Upper Middle</v>
      </c>
      <c r="F93">
        <v>1</v>
      </c>
      <c r="G93" t="s">
        <v>27</v>
      </c>
      <c r="H93" t="s">
        <v>20</v>
      </c>
      <c r="I93" t="s">
        <v>21</v>
      </c>
      <c r="J93">
        <v>1</v>
      </c>
      <c r="K93" t="s">
        <v>33</v>
      </c>
      <c r="L93" t="s">
        <v>63</v>
      </c>
      <c r="M93">
        <v>44</v>
      </c>
      <c r="N93" t="s">
        <v>24</v>
      </c>
      <c r="O93" t="s">
        <v>49</v>
      </c>
      <c r="P93" s="2">
        <v>7506.39</v>
      </c>
      <c r="Q93" t="s">
        <v>26</v>
      </c>
      <c r="R93" s="1">
        <v>45283</v>
      </c>
      <c r="S93" s="1"/>
    </row>
    <row r="94" spans="1:19" x14ac:dyDescent="0.3">
      <c r="A94">
        <v>20370</v>
      </c>
      <c r="B94" t="s">
        <v>17</v>
      </c>
      <c r="C94" t="s">
        <v>17</v>
      </c>
      <c r="D94">
        <v>70000</v>
      </c>
      <c r="E94" t="str">
        <f>IF(Sales_Data[[#This Row],[Income]]&lt;=20000,"Low Income",IF(Sales_Data[[#This Row],[Income]]&lt;=40000,"Lower Middle",IF(Sales_Data[[#This Row],[Income]]&lt;=60000,"Middle Income",IF(Sales_Data[[#This Row],[Income]]&lt;=80000,"Upper Middle","High Income"))))</f>
        <v>Upper Middle</v>
      </c>
      <c r="F94">
        <v>3</v>
      </c>
      <c r="G94" t="s">
        <v>50</v>
      </c>
      <c r="H94" t="s">
        <v>20</v>
      </c>
      <c r="I94" t="s">
        <v>21</v>
      </c>
      <c r="J94">
        <v>2</v>
      </c>
      <c r="K94" t="s">
        <v>36</v>
      </c>
      <c r="L94" t="s">
        <v>63</v>
      </c>
      <c r="M94">
        <v>52</v>
      </c>
      <c r="N94" t="s">
        <v>24</v>
      </c>
      <c r="O94" t="s">
        <v>34</v>
      </c>
      <c r="P94" s="2">
        <v>9393.3700000000008</v>
      </c>
      <c r="Q94" t="s">
        <v>30</v>
      </c>
      <c r="R94" s="1">
        <v>45008</v>
      </c>
      <c r="S94" s="1"/>
    </row>
    <row r="95" spans="1:19" x14ac:dyDescent="0.3">
      <c r="A95">
        <v>21266</v>
      </c>
      <c r="B95" t="s">
        <v>35</v>
      </c>
      <c r="C95" t="s">
        <v>18</v>
      </c>
      <c r="D95">
        <v>80000</v>
      </c>
      <c r="E95" t="str">
        <f>IF(Sales_Data[[#This Row],[Income]]&lt;=20000,"Low Income",IF(Sales_Data[[#This Row],[Income]]&lt;=40000,"Lower Middle",IF(Sales_Data[[#This Row],[Income]]&lt;=60000,"Middle Income",IF(Sales_Data[[#This Row],[Income]]&lt;=80000,"Upper Middle","High Income"))))</f>
        <v>Upper Middle</v>
      </c>
      <c r="F95">
        <v>0</v>
      </c>
      <c r="G95" t="s">
        <v>19</v>
      </c>
      <c r="H95" t="s">
        <v>46</v>
      </c>
      <c r="I95" t="s">
        <v>21</v>
      </c>
      <c r="J95">
        <v>1</v>
      </c>
      <c r="K95" t="s">
        <v>43</v>
      </c>
      <c r="L95" t="s">
        <v>63</v>
      </c>
      <c r="M95">
        <v>34</v>
      </c>
      <c r="N95" t="s">
        <v>24</v>
      </c>
      <c r="O95" t="s">
        <v>34</v>
      </c>
      <c r="P95" s="2">
        <v>9858.7999999999993</v>
      </c>
      <c r="Q95" t="s">
        <v>52</v>
      </c>
      <c r="R95" s="1">
        <v>44970</v>
      </c>
      <c r="S95" s="1"/>
    </row>
    <row r="96" spans="1:19" x14ac:dyDescent="0.3">
      <c r="A96">
        <v>13749</v>
      </c>
      <c r="B96" t="s">
        <v>17</v>
      </c>
      <c r="C96" t="s">
        <v>17</v>
      </c>
      <c r="D96">
        <v>80000</v>
      </c>
      <c r="E96" t="str">
        <f>IF(Sales_Data[[#This Row],[Income]]&lt;=20000,"Low Income",IF(Sales_Data[[#This Row],[Income]]&lt;=40000,"Lower Middle",IF(Sales_Data[[#This Row],[Income]]&lt;=60000,"Middle Income",IF(Sales_Data[[#This Row],[Income]]&lt;=80000,"Upper Middle","High Income"))))</f>
        <v>Upper Middle</v>
      </c>
      <c r="F96">
        <v>4</v>
      </c>
      <c r="G96" t="s">
        <v>61</v>
      </c>
      <c r="H96" t="s">
        <v>20</v>
      </c>
      <c r="I96" t="s">
        <v>21</v>
      </c>
      <c r="J96">
        <v>0</v>
      </c>
      <c r="K96" t="s">
        <v>43</v>
      </c>
      <c r="L96" t="s">
        <v>63</v>
      </c>
      <c r="M96">
        <v>47</v>
      </c>
      <c r="N96" t="s">
        <v>38</v>
      </c>
      <c r="O96" t="s">
        <v>39</v>
      </c>
      <c r="P96" s="2">
        <v>3244.2</v>
      </c>
      <c r="Q96" t="s">
        <v>51</v>
      </c>
      <c r="R96" s="1">
        <v>45080</v>
      </c>
      <c r="S96" s="1"/>
    </row>
    <row r="97" spans="1:19" x14ac:dyDescent="0.3">
      <c r="A97">
        <v>28667</v>
      </c>
      <c r="B97" t="s">
        <v>35</v>
      </c>
      <c r="C97" t="s">
        <v>17</v>
      </c>
      <c r="D97">
        <v>70000</v>
      </c>
      <c r="E97" t="str">
        <f>IF(Sales_Data[[#This Row],[Income]]&lt;=20000,"Low Income",IF(Sales_Data[[#This Row],[Income]]&lt;=40000,"Lower Middle",IF(Sales_Data[[#This Row],[Income]]&lt;=60000,"Middle Income",IF(Sales_Data[[#This Row],[Income]]&lt;=80000,"Upper Middle","High Income"))))</f>
        <v>Upper Middle</v>
      </c>
      <c r="F97">
        <v>2</v>
      </c>
      <c r="G97" t="s">
        <v>19</v>
      </c>
      <c r="H97" t="s">
        <v>20</v>
      </c>
      <c r="I97" t="s">
        <v>32</v>
      </c>
      <c r="J97">
        <v>1</v>
      </c>
      <c r="K97" t="s">
        <v>22</v>
      </c>
      <c r="L97" t="s">
        <v>63</v>
      </c>
      <c r="M97">
        <v>37</v>
      </c>
      <c r="N97" t="s">
        <v>38</v>
      </c>
      <c r="O97" t="s">
        <v>54</v>
      </c>
      <c r="P97" s="2">
        <v>7792.7</v>
      </c>
      <c r="Q97" t="s">
        <v>58</v>
      </c>
      <c r="R97" s="1">
        <v>45125</v>
      </c>
      <c r="S97" s="1"/>
    </row>
    <row r="98" spans="1:19" x14ac:dyDescent="0.3">
      <c r="A98">
        <v>18391</v>
      </c>
      <c r="B98" t="s">
        <v>35</v>
      </c>
      <c r="C98" t="s">
        <v>18</v>
      </c>
      <c r="D98">
        <v>80000</v>
      </c>
      <c r="E98" t="str">
        <f>IF(Sales_Data[[#This Row],[Income]]&lt;=20000,"Low Income",IF(Sales_Data[[#This Row],[Income]]&lt;=40000,"Lower Middle",IF(Sales_Data[[#This Row],[Income]]&lt;=60000,"Middle Income",IF(Sales_Data[[#This Row],[Income]]&lt;=80000,"Upper Middle","High Income"))))</f>
        <v>Upper Middle</v>
      </c>
      <c r="F98">
        <v>5</v>
      </c>
      <c r="G98" t="s">
        <v>27</v>
      </c>
      <c r="H98" t="s">
        <v>31</v>
      </c>
      <c r="I98" t="s">
        <v>21</v>
      </c>
      <c r="J98">
        <v>2</v>
      </c>
      <c r="K98" t="s">
        <v>36</v>
      </c>
      <c r="L98" t="s">
        <v>63</v>
      </c>
      <c r="M98">
        <v>44</v>
      </c>
      <c r="N98" t="s">
        <v>38</v>
      </c>
      <c r="O98" t="s">
        <v>62</v>
      </c>
      <c r="P98" s="2">
        <v>5106.37</v>
      </c>
      <c r="Q98" t="s">
        <v>56</v>
      </c>
      <c r="R98" s="1">
        <v>45185</v>
      </c>
      <c r="S98" s="1"/>
    </row>
    <row r="99" spans="1:19" x14ac:dyDescent="0.3">
      <c r="A99">
        <v>19812</v>
      </c>
      <c r="B99" t="s">
        <v>35</v>
      </c>
      <c r="C99" t="s">
        <v>18</v>
      </c>
      <c r="D99">
        <v>70000</v>
      </c>
      <c r="E99" t="str">
        <f>IF(Sales_Data[[#This Row],[Income]]&lt;=20000,"Low Income",IF(Sales_Data[[#This Row],[Income]]&lt;=40000,"Lower Middle",IF(Sales_Data[[#This Row],[Income]]&lt;=60000,"Middle Income",IF(Sales_Data[[#This Row],[Income]]&lt;=80000,"Upper Middle","High Income"))))</f>
        <v>Upper Middle</v>
      </c>
      <c r="F99">
        <v>2</v>
      </c>
      <c r="G99" t="s">
        <v>27</v>
      </c>
      <c r="H99" t="s">
        <v>31</v>
      </c>
      <c r="I99" t="s">
        <v>21</v>
      </c>
      <c r="J99">
        <v>0</v>
      </c>
      <c r="K99" t="s">
        <v>36</v>
      </c>
      <c r="L99" t="s">
        <v>63</v>
      </c>
      <c r="M99">
        <v>49</v>
      </c>
      <c r="N99" t="s">
        <v>38</v>
      </c>
      <c r="O99" t="s">
        <v>47</v>
      </c>
      <c r="P99" s="2">
        <v>7867.89</v>
      </c>
      <c r="Q99" t="s">
        <v>51</v>
      </c>
      <c r="R99" s="1">
        <v>45091</v>
      </c>
      <c r="S99" s="1"/>
    </row>
    <row r="100" spans="1:19" x14ac:dyDescent="0.3">
      <c r="A100">
        <v>27660</v>
      </c>
      <c r="B100" t="s">
        <v>17</v>
      </c>
      <c r="C100" t="s">
        <v>17</v>
      </c>
      <c r="D100">
        <v>80000</v>
      </c>
      <c r="E100" t="str">
        <f>IF(Sales_Data[[#This Row],[Income]]&lt;=20000,"Low Income",IF(Sales_Data[[#This Row],[Income]]&lt;=40000,"Lower Middle",IF(Sales_Data[[#This Row],[Income]]&lt;=60000,"Middle Income",IF(Sales_Data[[#This Row],[Income]]&lt;=80000,"Upper Middle","High Income"))))</f>
        <v>Upper Middle</v>
      </c>
      <c r="F100">
        <v>4</v>
      </c>
      <c r="G100" t="s">
        <v>61</v>
      </c>
      <c r="H100" t="s">
        <v>46</v>
      </c>
      <c r="I100" t="s">
        <v>21</v>
      </c>
      <c r="J100">
        <v>2</v>
      </c>
      <c r="K100" t="s">
        <v>36</v>
      </c>
      <c r="L100" t="s">
        <v>63</v>
      </c>
      <c r="M100">
        <v>70</v>
      </c>
      <c r="N100" t="s">
        <v>38</v>
      </c>
      <c r="O100" t="s">
        <v>47</v>
      </c>
      <c r="P100" s="2">
        <v>5151.3900000000003</v>
      </c>
      <c r="Q100" t="s">
        <v>57</v>
      </c>
      <c r="R100" s="1">
        <v>45228</v>
      </c>
      <c r="S100" s="1"/>
    </row>
    <row r="101" spans="1:19" x14ac:dyDescent="0.3">
      <c r="A101">
        <v>29231</v>
      </c>
      <c r="B101" t="s">
        <v>35</v>
      </c>
      <c r="C101" t="s">
        <v>17</v>
      </c>
      <c r="D101">
        <v>80000</v>
      </c>
      <c r="E101" t="str">
        <f>IF(Sales_Data[[#This Row],[Income]]&lt;=20000,"Low Income",IF(Sales_Data[[#This Row],[Income]]&lt;=40000,"Lower Middle",IF(Sales_Data[[#This Row],[Income]]&lt;=60000,"Middle Income",IF(Sales_Data[[#This Row],[Income]]&lt;=80000,"Upper Middle","High Income"))))</f>
        <v>Upper Middle</v>
      </c>
      <c r="F101">
        <v>4</v>
      </c>
      <c r="G101" t="s">
        <v>27</v>
      </c>
      <c r="H101" t="s">
        <v>31</v>
      </c>
      <c r="I101" t="s">
        <v>32</v>
      </c>
      <c r="J101">
        <v>2</v>
      </c>
      <c r="K101" t="s">
        <v>22</v>
      </c>
      <c r="L101" t="s">
        <v>63</v>
      </c>
      <c r="M101">
        <v>43</v>
      </c>
      <c r="N101" t="s">
        <v>38</v>
      </c>
      <c r="O101" t="s">
        <v>54</v>
      </c>
      <c r="P101" s="2">
        <v>7738.81</v>
      </c>
      <c r="Q101" t="s">
        <v>26</v>
      </c>
      <c r="R101" s="1">
        <v>45286</v>
      </c>
      <c r="S101" s="1"/>
    </row>
    <row r="102" spans="1:19" x14ac:dyDescent="0.3">
      <c r="A102">
        <v>17458</v>
      </c>
      <c r="B102" t="s">
        <v>35</v>
      </c>
      <c r="C102" t="s">
        <v>17</v>
      </c>
      <c r="D102">
        <v>70000</v>
      </c>
      <c r="E102" t="str">
        <f>IF(Sales_Data[[#This Row],[Income]]&lt;=20000,"Low Income",IF(Sales_Data[[#This Row],[Income]]&lt;=40000,"Lower Middle",IF(Sales_Data[[#This Row],[Income]]&lt;=60000,"Middle Income",IF(Sales_Data[[#This Row],[Income]]&lt;=80000,"Upper Middle","High Income"))))</f>
        <v>Upper Middle</v>
      </c>
      <c r="F102">
        <v>3</v>
      </c>
      <c r="G102" t="s">
        <v>45</v>
      </c>
      <c r="H102" t="s">
        <v>31</v>
      </c>
      <c r="I102" t="s">
        <v>21</v>
      </c>
      <c r="J102">
        <v>0</v>
      </c>
      <c r="K102" t="s">
        <v>36</v>
      </c>
      <c r="L102" t="s">
        <v>63</v>
      </c>
      <c r="M102">
        <v>52</v>
      </c>
      <c r="N102" t="s">
        <v>24</v>
      </c>
      <c r="O102" t="s">
        <v>29</v>
      </c>
      <c r="P102" s="2">
        <v>9373.14</v>
      </c>
      <c r="Q102" t="s">
        <v>40</v>
      </c>
      <c r="R102" s="1">
        <v>45062</v>
      </c>
      <c r="S102" s="1"/>
    </row>
    <row r="103" spans="1:19" x14ac:dyDescent="0.3">
      <c r="A103">
        <v>16145</v>
      </c>
      <c r="B103" t="s">
        <v>35</v>
      </c>
      <c r="C103" t="s">
        <v>18</v>
      </c>
      <c r="D103">
        <v>70000</v>
      </c>
      <c r="E103" t="str">
        <f>IF(Sales_Data[[#This Row],[Income]]&lt;=20000,"Low Income",IF(Sales_Data[[#This Row],[Income]]&lt;=40000,"Lower Middle",IF(Sales_Data[[#This Row],[Income]]&lt;=60000,"Middle Income",IF(Sales_Data[[#This Row],[Income]]&lt;=80000,"Upper Middle","High Income"))))</f>
        <v>Upper Middle</v>
      </c>
      <c r="F103">
        <v>5</v>
      </c>
      <c r="G103" t="s">
        <v>61</v>
      </c>
      <c r="H103" t="s">
        <v>31</v>
      </c>
      <c r="I103" t="s">
        <v>21</v>
      </c>
      <c r="J103">
        <v>3</v>
      </c>
      <c r="K103" t="s">
        <v>53</v>
      </c>
      <c r="L103" t="s">
        <v>63</v>
      </c>
      <c r="M103">
        <v>46</v>
      </c>
      <c r="N103" t="s">
        <v>38</v>
      </c>
      <c r="O103" t="s">
        <v>47</v>
      </c>
      <c r="P103" s="2">
        <v>9938.58</v>
      </c>
      <c r="Q103" t="s">
        <v>44</v>
      </c>
      <c r="R103" s="1">
        <v>44936</v>
      </c>
      <c r="S103" s="1"/>
    </row>
    <row r="104" spans="1:19" x14ac:dyDescent="0.3">
      <c r="A104">
        <v>25983</v>
      </c>
      <c r="B104" t="s">
        <v>17</v>
      </c>
      <c r="C104" t="s">
        <v>17</v>
      </c>
      <c r="D104">
        <v>70000</v>
      </c>
      <c r="E104" t="str">
        <f>IF(Sales_Data[[#This Row],[Income]]&lt;=20000,"Low Income",IF(Sales_Data[[#This Row],[Income]]&lt;=40000,"Lower Middle",IF(Sales_Data[[#This Row],[Income]]&lt;=60000,"Middle Income",IF(Sales_Data[[#This Row],[Income]]&lt;=80000,"Upper Middle","High Income"))))</f>
        <v>Upper Middle</v>
      </c>
      <c r="F104">
        <v>0</v>
      </c>
      <c r="G104" t="s">
        <v>19</v>
      </c>
      <c r="H104" t="s">
        <v>31</v>
      </c>
      <c r="I104" t="s">
        <v>32</v>
      </c>
      <c r="J104">
        <v>1</v>
      </c>
      <c r="K104" t="s">
        <v>22</v>
      </c>
      <c r="L104" t="s">
        <v>63</v>
      </c>
      <c r="M104">
        <v>43</v>
      </c>
      <c r="N104" t="s">
        <v>38</v>
      </c>
      <c r="O104" t="s">
        <v>47</v>
      </c>
      <c r="P104" s="2">
        <v>2566.37</v>
      </c>
      <c r="Q104" t="s">
        <v>44</v>
      </c>
      <c r="R104" s="1">
        <v>44935</v>
      </c>
      <c r="S104" s="1"/>
    </row>
    <row r="105" spans="1:19" x14ac:dyDescent="0.3">
      <c r="A105">
        <v>22994</v>
      </c>
      <c r="B105" t="s">
        <v>17</v>
      </c>
      <c r="C105" t="s">
        <v>18</v>
      </c>
      <c r="D105">
        <v>80000</v>
      </c>
      <c r="E105" t="str">
        <f>IF(Sales_Data[[#This Row],[Income]]&lt;=20000,"Low Income",IF(Sales_Data[[#This Row],[Income]]&lt;=40000,"Lower Middle",IF(Sales_Data[[#This Row],[Income]]&lt;=60000,"Middle Income",IF(Sales_Data[[#This Row],[Income]]&lt;=80000,"Upper Middle","High Income"))))</f>
        <v>Upper Middle</v>
      </c>
      <c r="F105">
        <v>0</v>
      </c>
      <c r="G105" t="s">
        <v>19</v>
      </c>
      <c r="H105" t="s">
        <v>46</v>
      </c>
      <c r="I105" t="s">
        <v>21</v>
      </c>
      <c r="J105">
        <v>1</v>
      </c>
      <c r="K105" t="s">
        <v>43</v>
      </c>
      <c r="L105" t="s">
        <v>63</v>
      </c>
      <c r="M105">
        <v>34</v>
      </c>
      <c r="N105" t="s">
        <v>24</v>
      </c>
      <c r="O105" t="s">
        <v>25</v>
      </c>
      <c r="P105" s="2">
        <v>7603.43</v>
      </c>
      <c r="Q105" t="s">
        <v>59</v>
      </c>
      <c r="R105" s="1">
        <v>45041</v>
      </c>
      <c r="S105" s="1"/>
    </row>
    <row r="106" spans="1:19" x14ac:dyDescent="0.3">
      <c r="A106">
        <v>16245</v>
      </c>
      <c r="B106" t="s">
        <v>35</v>
      </c>
      <c r="C106" t="s">
        <v>18</v>
      </c>
      <c r="D106">
        <v>80000</v>
      </c>
      <c r="E106" t="str">
        <f>IF(Sales_Data[[#This Row],[Income]]&lt;=20000,"Low Income",IF(Sales_Data[[#This Row],[Income]]&lt;=40000,"Lower Middle",IF(Sales_Data[[#This Row],[Income]]&lt;=60000,"Middle Income",IF(Sales_Data[[#This Row],[Income]]&lt;=80000,"Upper Middle","High Income"))))</f>
        <v>Upper Middle</v>
      </c>
      <c r="F106">
        <v>4</v>
      </c>
      <c r="G106" t="s">
        <v>61</v>
      </c>
      <c r="H106" t="s">
        <v>20</v>
      </c>
      <c r="I106" t="s">
        <v>21</v>
      </c>
      <c r="J106">
        <v>0</v>
      </c>
      <c r="K106" t="s">
        <v>43</v>
      </c>
      <c r="L106" t="s">
        <v>63</v>
      </c>
      <c r="M106">
        <v>47</v>
      </c>
      <c r="N106" t="s">
        <v>38</v>
      </c>
      <c r="O106" t="s">
        <v>39</v>
      </c>
      <c r="P106" s="2">
        <v>1429.83</v>
      </c>
      <c r="Q106" t="s">
        <v>58</v>
      </c>
      <c r="R106" s="1">
        <v>45131</v>
      </c>
      <c r="S106" s="1"/>
    </row>
    <row r="107" spans="1:19" x14ac:dyDescent="0.3">
      <c r="A107">
        <v>11200</v>
      </c>
      <c r="B107" t="s">
        <v>17</v>
      </c>
      <c r="C107" t="s">
        <v>17</v>
      </c>
      <c r="D107">
        <v>70000</v>
      </c>
      <c r="E107" t="str">
        <f>IF(Sales_Data[[#This Row],[Income]]&lt;=20000,"Low Income",IF(Sales_Data[[#This Row],[Income]]&lt;=40000,"Lower Middle",IF(Sales_Data[[#This Row],[Income]]&lt;=60000,"Middle Income",IF(Sales_Data[[#This Row],[Income]]&lt;=80000,"Upper Middle","High Income"))))</f>
        <v>Upper Middle</v>
      </c>
      <c r="F107">
        <v>4</v>
      </c>
      <c r="G107" t="s">
        <v>19</v>
      </c>
      <c r="H107" t="s">
        <v>46</v>
      </c>
      <c r="I107" t="s">
        <v>21</v>
      </c>
      <c r="J107">
        <v>1</v>
      </c>
      <c r="K107" t="s">
        <v>43</v>
      </c>
      <c r="L107" t="s">
        <v>63</v>
      </c>
      <c r="M107">
        <v>58</v>
      </c>
      <c r="N107" t="s">
        <v>38</v>
      </c>
      <c r="O107" t="s">
        <v>54</v>
      </c>
      <c r="P107" s="2">
        <v>7452.36</v>
      </c>
      <c r="Q107" t="s">
        <v>57</v>
      </c>
      <c r="R107" s="1">
        <v>45215</v>
      </c>
      <c r="S107" s="1"/>
    </row>
    <row r="108" spans="1:19" x14ac:dyDescent="0.3">
      <c r="A108">
        <v>21801</v>
      </c>
      <c r="B108" t="s">
        <v>17</v>
      </c>
      <c r="C108" t="s">
        <v>18</v>
      </c>
      <c r="D108">
        <v>70000</v>
      </c>
      <c r="E108" t="str">
        <f>IF(Sales_Data[[#This Row],[Income]]&lt;=20000,"Low Income",IF(Sales_Data[[#This Row],[Income]]&lt;=40000,"Lower Middle",IF(Sales_Data[[#This Row],[Income]]&lt;=60000,"Middle Income",IF(Sales_Data[[#This Row],[Income]]&lt;=80000,"Upper Middle","High Income"))))</f>
        <v>Upper Middle</v>
      </c>
      <c r="F108">
        <v>4</v>
      </c>
      <c r="G108" t="s">
        <v>27</v>
      </c>
      <c r="H108" t="s">
        <v>31</v>
      </c>
      <c r="I108" t="s">
        <v>21</v>
      </c>
      <c r="J108">
        <v>1</v>
      </c>
      <c r="K108" t="s">
        <v>43</v>
      </c>
      <c r="L108" t="s">
        <v>63</v>
      </c>
      <c r="M108">
        <v>55</v>
      </c>
      <c r="N108" t="s">
        <v>38</v>
      </c>
      <c r="O108" t="s">
        <v>39</v>
      </c>
      <c r="P108" s="2">
        <v>5398.64</v>
      </c>
      <c r="Q108" t="s">
        <v>40</v>
      </c>
      <c r="R108" s="1">
        <v>45056</v>
      </c>
      <c r="S108" s="1"/>
    </row>
    <row r="109" spans="1:19" x14ac:dyDescent="0.3">
      <c r="A109">
        <v>25943</v>
      </c>
      <c r="B109" t="s">
        <v>35</v>
      </c>
      <c r="C109" t="s">
        <v>18</v>
      </c>
      <c r="D109">
        <v>70000</v>
      </c>
      <c r="E109" t="str">
        <f>IF(Sales_Data[[#This Row],[Income]]&lt;=20000,"Low Income",IF(Sales_Data[[#This Row],[Income]]&lt;=40000,"Lower Middle",IF(Sales_Data[[#This Row],[Income]]&lt;=60000,"Middle Income",IF(Sales_Data[[#This Row],[Income]]&lt;=80000,"Upper Middle","High Income"))))</f>
        <v>Upper Middle</v>
      </c>
      <c r="F109">
        <v>0</v>
      </c>
      <c r="G109" t="s">
        <v>27</v>
      </c>
      <c r="H109" t="s">
        <v>20</v>
      </c>
      <c r="I109" t="s">
        <v>32</v>
      </c>
      <c r="J109">
        <v>2</v>
      </c>
      <c r="K109" t="s">
        <v>22</v>
      </c>
      <c r="L109" t="s">
        <v>63</v>
      </c>
      <c r="M109">
        <v>27</v>
      </c>
      <c r="N109" t="s">
        <v>24</v>
      </c>
      <c r="O109" t="s">
        <v>34</v>
      </c>
      <c r="P109" s="2">
        <v>738.48</v>
      </c>
      <c r="Q109" t="s">
        <v>30</v>
      </c>
      <c r="R109" s="1">
        <v>44992</v>
      </c>
      <c r="S109" s="1"/>
    </row>
    <row r="110" spans="1:19" x14ac:dyDescent="0.3">
      <c r="A110">
        <v>29255</v>
      </c>
      <c r="B110" t="s">
        <v>35</v>
      </c>
      <c r="C110" t="s">
        <v>17</v>
      </c>
      <c r="D110">
        <v>80000</v>
      </c>
      <c r="E110" t="str">
        <f>IF(Sales_Data[[#This Row],[Income]]&lt;=20000,"Low Income",IF(Sales_Data[[#This Row],[Income]]&lt;=40000,"Lower Middle",IF(Sales_Data[[#This Row],[Income]]&lt;=60000,"Middle Income",IF(Sales_Data[[#This Row],[Income]]&lt;=80000,"Upper Middle","High Income"))))</f>
        <v>Upper Middle</v>
      </c>
      <c r="F110">
        <v>3</v>
      </c>
      <c r="G110" t="s">
        <v>27</v>
      </c>
      <c r="H110" t="s">
        <v>31</v>
      </c>
      <c r="I110" t="s">
        <v>32</v>
      </c>
      <c r="J110">
        <v>1</v>
      </c>
      <c r="K110" t="s">
        <v>43</v>
      </c>
      <c r="L110" t="s">
        <v>63</v>
      </c>
      <c r="M110">
        <v>51</v>
      </c>
      <c r="N110" t="s">
        <v>24</v>
      </c>
      <c r="O110" t="s">
        <v>55</v>
      </c>
      <c r="P110" s="2">
        <v>9915.7999999999993</v>
      </c>
      <c r="Q110" t="s">
        <v>56</v>
      </c>
      <c r="R110" s="1">
        <v>45175</v>
      </c>
      <c r="S110" s="1"/>
    </row>
    <row r="111" spans="1:19" x14ac:dyDescent="0.3">
      <c r="A111">
        <v>27643</v>
      </c>
      <c r="B111" t="s">
        <v>35</v>
      </c>
      <c r="C111" t="s">
        <v>17</v>
      </c>
      <c r="D111">
        <v>70000</v>
      </c>
      <c r="E111" t="str">
        <f>IF(Sales_Data[[#This Row],[Income]]&lt;=20000,"Low Income",IF(Sales_Data[[#This Row],[Income]]&lt;=40000,"Lower Middle",IF(Sales_Data[[#This Row],[Income]]&lt;=60000,"Middle Income",IF(Sales_Data[[#This Row],[Income]]&lt;=80000,"Upper Middle","High Income"))))</f>
        <v>Upper Middle</v>
      </c>
      <c r="F111">
        <v>5</v>
      </c>
      <c r="G111" t="s">
        <v>27</v>
      </c>
      <c r="H111" t="s">
        <v>31</v>
      </c>
      <c r="I111" t="s">
        <v>21</v>
      </c>
      <c r="J111">
        <v>3</v>
      </c>
      <c r="K111" t="s">
        <v>33</v>
      </c>
      <c r="L111" t="s">
        <v>63</v>
      </c>
      <c r="M111">
        <v>44</v>
      </c>
      <c r="N111" t="s">
        <v>24</v>
      </c>
      <c r="O111" t="s">
        <v>55</v>
      </c>
      <c r="P111" s="2">
        <v>4674.28</v>
      </c>
      <c r="Q111" t="s">
        <v>44</v>
      </c>
      <c r="R111" s="1">
        <v>44945</v>
      </c>
      <c r="S111" s="1"/>
    </row>
    <row r="112" spans="1:19" x14ac:dyDescent="0.3">
      <c r="A112">
        <v>13754</v>
      </c>
      <c r="B112" t="s">
        <v>35</v>
      </c>
      <c r="C112" t="s">
        <v>18</v>
      </c>
      <c r="D112">
        <v>80000</v>
      </c>
      <c r="E112" t="str">
        <f>IF(Sales_Data[[#This Row],[Income]]&lt;=20000,"Low Income",IF(Sales_Data[[#This Row],[Income]]&lt;=40000,"Lower Middle",IF(Sales_Data[[#This Row],[Income]]&lt;=60000,"Middle Income",IF(Sales_Data[[#This Row],[Income]]&lt;=80000,"Upper Middle","High Income"))))</f>
        <v>Upper Middle</v>
      </c>
      <c r="F112">
        <v>4</v>
      </c>
      <c r="G112" t="s">
        <v>61</v>
      </c>
      <c r="H112" t="s">
        <v>20</v>
      </c>
      <c r="I112" t="s">
        <v>21</v>
      </c>
      <c r="J112">
        <v>0</v>
      </c>
      <c r="K112" t="s">
        <v>43</v>
      </c>
      <c r="L112" t="s">
        <v>63</v>
      </c>
      <c r="M112">
        <v>48</v>
      </c>
      <c r="N112" t="s">
        <v>38</v>
      </c>
      <c r="O112" t="s">
        <v>62</v>
      </c>
      <c r="P112" s="2">
        <v>3908.1</v>
      </c>
      <c r="Q112" t="s">
        <v>30</v>
      </c>
      <c r="R112" s="1">
        <v>44997</v>
      </c>
      <c r="S112" s="1"/>
    </row>
    <row r="113" spans="1:19" x14ac:dyDescent="0.3">
      <c r="A113">
        <v>18949</v>
      </c>
      <c r="B113" t="s">
        <v>35</v>
      </c>
      <c r="C113" t="s">
        <v>17</v>
      </c>
      <c r="D113">
        <v>70000</v>
      </c>
      <c r="E113" t="str">
        <f>IF(Sales_Data[[#This Row],[Income]]&lt;=20000,"Low Income",IF(Sales_Data[[#This Row],[Income]]&lt;=40000,"Lower Middle",IF(Sales_Data[[#This Row],[Income]]&lt;=60000,"Middle Income",IF(Sales_Data[[#This Row],[Income]]&lt;=80000,"Upper Middle","High Income"))))</f>
        <v>Upper Middle</v>
      </c>
      <c r="F113">
        <v>0</v>
      </c>
      <c r="G113" t="s">
        <v>61</v>
      </c>
      <c r="H113" t="s">
        <v>46</v>
      </c>
      <c r="I113" t="s">
        <v>21</v>
      </c>
      <c r="J113">
        <v>2</v>
      </c>
      <c r="K113" t="s">
        <v>36</v>
      </c>
      <c r="L113" t="s">
        <v>63</v>
      </c>
      <c r="M113">
        <v>74</v>
      </c>
      <c r="N113" t="s">
        <v>38</v>
      </c>
      <c r="O113" t="s">
        <v>47</v>
      </c>
      <c r="P113" s="2">
        <v>1169.42</v>
      </c>
      <c r="Q113" t="s">
        <v>44</v>
      </c>
      <c r="R113" s="1">
        <v>44938</v>
      </c>
      <c r="S113" s="1"/>
    </row>
    <row r="114" spans="1:19" x14ac:dyDescent="0.3">
      <c r="A114">
        <v>21741</v>
      </c>
      <c r="B114" t="s">
        <v>17</v>
      </c>
      <c r="C114" t="s">
        <v>18</v>
      </c>
      <c r="D114">
        <v>70000</v>
      </c>
      <c r="E114" t="str">
        <f>IF(Sales_Data[[#This Row],[Income]]&lt;=20000,"Low Income",IF(Sales_Data[[#This Row],[Income]]&lt;=40000,"Lower Middle",IF(Sales_Data[[#This Row],[Income]]&lt;=60000,"Middle Income",IF(Sales_Data[[#This Row],[Income]]&lt;=80000,"Upper Middle","High Income"))))</f>
        <v>Upper Middle</v>
      </c>
      <c r="F114">
        <v>3</v>
      </c>
      <c r="G114" t="s">
        <v>27</v>
      </c>
      <c r="H114" t="s">
        <v>31</v>
      </c>
      <c r="I114" t="s">
        <v>21</v>
      </c>
      <c r="J114">
        <v>2</v>
      </c>
      <c r="K114" t="s">
        <v>36</v>
      </c>
      <c r="L114" t="s">
        <v>63</v>
      </c>
      <c r="M114">
        <v>50</v>
      </c>
      <c r="N114" t="s">
        <v>38</v>
      </c>
      <c r="O114" t="s">
        <v>62</v>
      </c>
      <c r="P114" s="2">
        <v>7345.81</v>
      </c>
      <c r="Q114" t="s">
        <v>26</v>
      </c>
      <c r="R114" s="1">
        <v>45276</v>
      </c>
      <c r="S114" s="1"/>
    </row>
    <row r="115" spans="1:19" x14ac:dyDescent="0.3">
      <c r="A115">
        <v>14572</v>
      </c>
      <c r="B115" t="s">
        <v>17</v>
      </c>
      <c r="C115" t="s">
        <v>18</v>
      </c>
      <c r="D115">
        <v>70000</v>
      </c>
      <c r="E115" t="str">
        <f>IF(Sales_Data[[#This Row],[Income]]&lt;=20000,"Low Income",IF(Sales_Data[[#This Row],[Income]]&lt;=40000,"Lower Middle",IF(Sales_Data[[#This Row],[Income]]&lt;=60000,"Middle Income",IF(Sales_Data[[#This Row],[Income]]&lt;=80000,"Upper Middle","High Income"))))</f>
        <v>Upper Middle</v>
      </c>
      <c r="F115">
        <v>3</v>
      </c>
      <c r="G115" t="s">
        <v>61</v>
      </c>
      <c r="H115" t="s">
        <v>31</v>
      </c>
      <c r="I115" t="s">
        <v>21</v>
      </c>
      <c r="J115">
        <v>0</v>
      </c>
      <c r="K115" t="s">
        <v>33</v>
      </c>
      <c r="L115" t="s">
        <v>63</v>
      </c>
      <c r="M115">
        <v>35</v>
      </c>
      <c r="N115" t="s">
        <v>38</v>
      </c>
      <c r="O115" t="s">
        <v>41</v>
      </c>
      <c r="P115" s="2">
        <v>898.51</v>
      </c>
      <c r="Q115" t="s">
        <v>26</v>
      </c>
      <c r="R115" s="1">
        <v>45289</v>
      </c>
      <c r="S115" s="1"/>
    </row>
    <row r="116" spans="1:19" x14ac:dyDescent="0.3">
      <c r="A116">
        <v>25872</v>
      </c>
      <c r="B116" t="s">
        <v>35</v>
      </c>
      <c r="C116" t="s">
        <v>18</v>
      </c>
      <c r="D116">
        <v>70000</v>
      </c>
      <c r="E116" t="str">
        <f>IF(Sales_Data[[#This Row],[Income]]&lt;=20000,"Low Income",IF(Sales_Data[[#This Row],[Income]]&lt;=40000,"Lower Middle",IF(Sales_Data[[#This Row],[Income]]&lt;=60000,"Middle Income",IF(Sales_Data[[#This Row],[Income]]&lt;=80000,"Upper Middle","High Income"))))</f>
        <v>Upper Middle</v>
      </c>
      <c r="F116">
        <v>2</v>
      </c>
      <c r="G116" t="s">
        <v>19</v>
      </c>
      <c r="H116" t="s">
        <v>46</v>
      </c>
      <c r="I116" t="s">
        <v>32</v>
      </c>
      <c r="J116">
        <v>1</v>
      </c>
      <c r="K116" t="s">
        <v>33</v>
      </c>
      <c r="L116" t="s">
        <v>63</v>
      </c>
      <c r="M116">
        <v>58</v>
      </c>
      <c r="N116" t="s">
        <v>24</v>
      </c>
      <c r="O116" t="s">
        <v>34</v>
      </c>
      <c r="P116" s="2">
        <v>1397.65</v>
      </c>
      <c r="Q116" t="s">
        <v>30</v>
      </c>
      <c r="R116" s="1">
        <v>44989</v>
      </c>
      <c r="S116" s="1"/>
    </row>
    <row r="117" spans="1:19" x14ac:dyDescent="0.3">
      <c r="A117">
        <v>19164</v>
      </c>
      <c r="B117" t="s">
        <v>35</v>
      </c>
      <c r="C117" t="s">
        <v>18</v>
      </c>
      <c r="D117">
        <v>70000</v>
      </c>
      <c r="E117" t="str">
        <f>IF(Sales_Data[[#This Row],[Income]]&lt;=20000,"Low Income",IF(Sales_Data[[#This Row],[Income]]&lt;=40000,"Lower Middle",IF(Sales_Data[[#This Row],[Income]]&lt;=60000,"Middle Income",IF(Sales_Data[[#This Row],[Income]]&lt;=80000,"Upper Middle","High Income"))))</f>
        <v>Upper Middle</v>
      </c>
      <c r="F117">
        <v>0</v>
      </c>
      <c r="G117" t="s">
        <v>19</v>
      </c>
      <c r="H117" t="s">
        <v>31</v>
      </c>
      <c r="I117" t="s">
        <v>32</v>
      </c>
      <c r="J117">
        <v>1</v>
      </c>
      <c r="K117" t="s">
        <v>33</v>
      </c>
      <c r="L117" t="s">
        <v>63</v>
      </c>
      <c r="M117">
        <v>38</v>
      </c>
      <c r="N117" t="s">
        <v>24</v>
      </c>
      <c r="O117" t="s">
        <v>29</v>
      </c>
      <c r="P117" s="2">
        <v>7935.42</v>
      </c>
      <c r="Q117" t="s">
        <v>26</v>
      </c>
      <c r="R117" s="1">
        <v>45286</v>
      </c>
      <c r="S117" s="1"/>
    </row>
    <row r="118" spans="1:19" x14ac:dyDescent="0.3">
      <c r="A118">
        <v>18435</v>
      </c>
      <c r="B118" t="s">
        <v>35</v>
      </c>
      <c r="C118" t="s">
        <v>18</v>
      </c>
      <c r="D118">
        <v>70000</v>
      </c>
      <c r="E118" t="str">
        <f>IF(Sales_Data[[#This Row],[Income]]&lt;=20000,"Low Income",IF(Sales_Data[[#This Row],[Income]]&lt;=40000,"Lower Middle",IF(Sales_Data[[#This Row],[Income]]&lt;=60000,"Middle Income",IF(Sales_Data[[#This Row],[Income]]&lt;=80000,"Upper Middle","High Income"))))</f>
        <v>Upper Middle</v>
      </c>
      <c r="F118">
        <v>5</v>
      </c>
      <c r="G118" t="s">
        <v>61</v>
      </c>
      <c r="H118" t="s">
        <v>46</v>
      </c>
      <c r="I118" t="s">
        <v>21</v>
      </c>
      <c r="J118">
        <v>2</v>
      </c>
      <c r="K118" t="s">
        <v>53</v>
      </c>
      <c r="L118" t="s">
        <v>63</v>
      </c>
      <c r="M118">
        <v>67</v>
      </c>
      <c r="N118" t="s">
        <v>38</v>
      </c>
      <c r="O118" t="s">
        <v>39</v>
      </c>
      <c r="P118" s="2">
        <v>2852.16</v>
      </c>
      <c r="Q118" t="s">
        <v>26</v>
      </c>
      <c r="R118" s="1">
        <v>45280</v>
      </c>
      <c r="S118" s="1"/>
    </row>
    <row r="119" spans="1:19" x14ac:dyDescent="0.3">
      <c r="A119">
        <v>11287</v>
      </c>
      <c r="B119" t="s">
        <v>17</v>
      </c>
      <c r="C119" t="s">
        <v>17</v>
      </c>
      <c r="D119">
        <v>70000</v>
      </c>
      <c r="E119" t="str">
        <f>IF(Sales_Data[[#This Row],[Income]]&lt;=20000,"Low Income",IF(Sales_Data[[#This Row],[Income]]&lt;=40000,"Lower Middle",IF(Sales_Data[[#This Row],[Income]]&lt;=60000,"Middle Income",IF(Sales_Data[[#This Row],[Income]]&lt;=80000,"Upper Middle","High Income"))))</f>
        <v>Upper Middle</v>
      </c>
      <c r="F119">
        <v>5</v>
      </c>
      <c r="G119" t="s">
        <v>27</v>
      </c>
      <c r="H119" t="s">
        <v>31</v>
      </c>
      <c r="I119" t="s">
        <v>32</v>
      </c>
      <c r="J119">
        <v>3</v>
      </c>
      <c r="K119" t="s">
        <v>36</v>
      </c>
      <c r="L119" t="s">
        <v>63</v>
      </c>
      <c r="M119">
        <v>45</v>
      </c>
      <c r="N119" t="s">
        <v>24</v>
      </c>
      <c r="O119" t="s">
        <v>34</v>
      </c>
      <c r="P119" s="2">
        <v>7179.13</v>
      </c>
      <c r="Q119" t="s">
        <v>40</v>
      </c>
      <c r="R119" s="1">
        <v>45066</v>
      </c>
      <c r="S119" s="1"/>
    </row>
    <row r="120" spans="1:19" x14ac:dyDescent="0.3">
      <c r="A120">
        <v>12964</v>
      </c>
      <c r="B120" t="s">
        <v>17</v>
      </c>
      <c r="C120" t="s">
        <v>17</v>
      </c>
      <c r="D120">
        <v>70000</v>
      </c>
      <c r="E120" t="str">
        <f>IF(Sales_Data[[#This Row],[Income]]&lt;=20000,"Low Income",IF(Sales_Data[[#This Row],[Income]]&lt;=40000,"Lower Middle",IF(Sales_Data[[#This Row],[Income]]&lt;=60000,"Middle Income",IF(Sales_Data[[#This Row],[Income]]&lt;=80000,"Upper Middle","High Income"))))</f>
        <v>Upper Middle</v>
      </c>
      <c r="F120">
        <v>1</v>
      </c>
      <c r="G120" t="s">
        <v>27</v>
      </c>
      <c r="H120" t="s">
        <v>20</v>
      </c>
      <c r="I120" t="s">
        <v>21</v>
      </c>
      <c r="J120">
        <v>1</v>
      </c>
      <c r="K120" t="s">
        <v>22</v>
      </c>
      <c r="L120" t="s">
        <v>63</v>
      </c>
      <c r="M120">
        <v>44</v>
      </c>
      <c r="N120" t="s">
        <v>24</v>
      </c>
      <c r="O120" t="s">
        <v>29</v>
      </c>
      <c r="P120" s="2">
        <v>4011.91</v>
      </c>
      <c r="Q120" t="s">
        <v>58</v>
      </c>
      <c r="R120" s="1">
        <v>45135</v>
      </c>
      <c r="S120" s="1"/>
    </row>
    <row r="121" spans="1:19" x14ac:dyDescent="0.3">
      <c r="A121">
        <v>11890</v>
      </c>
      <c r="B121" t="s">
        <v>17</v>
      </c>
      <c r="C121" t="s">
        <v>18</v>
      </c>
      <c r="D121">
        <v>70000</v>
      </c>
      <c r="E121" t="str">
        <f>IF(Sales_Data[[#This Row],[Income]]&lt;=20000,"Low Income",IF(Sales_Data[[#This Row],[Income]]&lt;=40000,"Lower Middle",IF(Sales_Data[[#This Row],[Income]]&lt;=60000,"Middle Income",IF(Sales_Data[[#This Row],[Income]]&lt;=80000,"Upper Middle","High Income"))))</f>
        <v>Upper Middle</v>
      </c>
      <c r="F121">
        <v>5</v>
      </c>
      <c r="G121" t="s">
        <v>61</v>
      </c>
      <c r="H121" t="s">
        <v>31</v>
      </c>
      <c r="I121" t="s">
        <v>21</v>
      </c>
      <c r="J121">
        <v>1</v>
      </c>
      <c r="K121" t="s">
        <v>22</v>
      </c>
      <c r="L121" t="s">
        <v>63</v>
      </c>
      <c r="M121">
        <v>47</v>
      </c>
      <c r="N121" t="s">
        <v>24</v>
      </c>
      <c r="O121" t="s">
        <v>55</v>
      </c>
      <c r="P121" s="2">
        <v>825.77</v>
      </c>
      <c r="Q121" t="s">
        <v>30</v>
      </c>
      <c r="R121" s="1">
        <v>45012</v>
      </c>
      <c r="S121" s="1"/>
    </row>
    <row r="122" spans="1:19" x14ac:dyDescent="0.3">
      <c r="A122">
        <v>28580</v>
      </c>
      <c r="B122" t="s">
        <v>17</v>
      </c>
      <c r="C122" t="s">
        <v>18</v>
      </c>
      <c r="D122">
        <v>80000</v>
      </c>
      <c r="E122" t="str">
        <f>IF(Sales_Data[[#This Row],[Income]]&lt;=20000,"Low Income",IF(Sales_Data[[#This Row],[Income]]&lt;=40000,"Lower Middle",IF(Sales_Data[[#This Row],[Income]]&lt;=60000,"Middle Income",IF(Sales_Data[[#This Row],[Income]]&lt;=80000,"Upper Middle","High Income"))))</f>
        <v>Upper Middle</v>
      </c>
      <c r="F122">
        <v>0</v>
      </c>
      <c r="G122" t="s">
        <v>61</v>
      </c>
      <c r="H122" t="s">
        <v>20</v>
      </c>
      <c r="I122" t="s">
        <v>21</v>
      </c>
      <c r="J122">
        <v>0</v>
      </c>
      <c r="K122" t="s">
        <v>43</v>
      </c>
      <c r="L122" t="s">
        <v>63</v>
      </c>
      <c r="M122">
        <v>40</v>
      </c>
      <c r="N122" t="s">
        <v>24</v>
      </c>
      <c r="O122" t="s">
        <v>34</v>
      </c>
      <c r="P122" s="2">
        <v>4518.07</v>
      </c>
      <c r="Q122" t="s">
        <v>58</v>
      </c>
      <c r="R122" s="1">
        <v>45118</v>
      </c>
      <c r="S122" s="1"/>
    </row>
    <row r="123" spans="1:19" x14ac:dyDescent="0.3">
      <c r="A123">
        <v>21471</v>
      </c>
      <c r="B123" t="s">
        <v>17</v>
      </c>
      <c r="C123" t="s">
        <v>17</v>
      </c>
      <c r="D123">
        <v>70000</v>
      </c>
      <c r="E123" t="str">
        <f>IF(Sales_Data[[#This Row],[Income]]&lt;=20000,"Low Income",IF(Sales_Data[[#This Row],[Income]]&lt;=40000,"Lower Middle",IF(Sales_Data[[#This Row],[Income]]&lt;=60000,"Middle Income",IF(Sales_Data[[#This Row],[Income]]&lt;=80000,"Upper Middle","High Income"))))</f>
        <v>Upper Middle</v>
      </c>
      <c r="F123">
        <v>2</v>
      </c>
      <c r="G123" t="s">
        <v>27</v>
      </c>
      <c r="H123" t="s">
        <v>31</v>
      </c>
      <c r="I123" t="s">
        <v>21</v>
      </c>
      <c r="J123">
        <v>1</v>
      </c>
      <c r="K123" t="s">
        <v>53</v>
      </c>
      <c r="L123" t="s">
        <v>63</v>
      </c>
      <c r="M123">
        <v>59</v>
      </c>
      <c r="N123" t="s">
        <v>24</v>
      </c>
      <c r="O123" t="s">
        <v>55</v>
      </c>
      <c r="P123" s="2">
        <v>8772.93</v>
      </c>
      <c r="Q123" t="s">
        <v>40</v>
      </c>
      <c r="R123" s="1">
        <v>45071</v>
      </c>
      <c r="S123" s="1"/>
    </row>
    <row r="124" spans="1:19" x14ac:dyDescent="0.3">
      <c r="A124">
        <v>11817</v>
      </c>
      <c r="B124" t="s">
        <v>35</v>
      </c>
      <c r="C124" t="s">
        <v>18</v>
      </c>
      <c r="D124">
        <v>70000</v>
      </c>
      <c r="E124" t="str">
        <f>IF(Sales_Data[[#This Row],[Income]]&lt;=20000,"Low Income",IF(Sales_Data[[#This Row],[Income]]&lt;=40000,"Lower Middle",IF(Sales_Data[[#This Row],[Income]]&lt;=60000,"Middle Income",IF(Sales_Data[[#This Row],[Income]]&lt;=80000,"Upper Middle","High Income"))))</f>
        <v>Upper Middle</v>
      </c>
      <c r="F124">
        <v>4</v>
      </c>
      <c r="G124" t="s">
        <v>61</v>
      </c>
      <c r="H124" t="s">
        <v>31</v>
      </c>
      <c r="I124" t="s">
        <v>21</v>
      </c>
      <c r="J124">
        <v>0</v>
      </c>
      <c r="K124" t="s">
        <v>33</v>
      </c>
      <c r="L124" t="s">
        <v>63</v>
      </c>
      <c r="M124">
        <v>35</v>
      </c>
      <c r="N124" t="s">
        <v>24</v>
      </c>
      <c r="O124" t="s">
        <v>29</v>
      </c>
      <c r="P124" s="2">
        <v>5550.18</v>
      </c>
      <c r="Q124" t="s">
        <v>57</v>
      </c>
      <c r="R124" s="1">
        <v>45209</v>
      </c>
      <c r="S124" s="1"/>
    </row>
    <row r="125" spans="1:19" x14ac:dyDescent="0.3">
      <c r="A125">
        <v>18145</v>
      </c>
      <c r="B125" t="s">
        <v>17</v>
      </c>
      <c r="C125" t="s">
        <v>17</v>
      </c>
      <c r="D125">
        <v>80000</v>
      </c>
      <c r="E125" t="str">
        <f>IF(Sales_Data[[#This Row],[Income]]&lt;=20000,"Low Income",IF(Sales_Data[[#This Row],[Income]]&lt;=40000,"Lower Middle",IF(Sales_Data[[#This Row],[Income]]&lt;=60000,"Middle Income",IF(Sales_Data[[#This Row],[Income]]&lt;=80000,"Upper Middle","High Income"))))</f>
        <v>Upper Middle</v>
      </c>
      <c r="F125">
        <v>5</v>
      </c>
      <c r="G125" t="s">
        <v>19</v>
      </c>
      <c r="H125" t="s">
        <v>46</v>
      </c>
      <c r="I125" t="s">
        <v>32</v>
      </c>
      <c r="J125">
        <v>2</v>
      </c>
      <c r="K125" t="s">
        <v>33</v>
      </c>
      <c r="L125" t="s">
        <v>23</v>
      </c>
      <c r="M125">
        <v>62</v>
      </c>
      <c r="N125" t="s">
        <v>38</v>
      </c>
      <c r="O125" t="s">
        <v>47</v>
      </c>
      <c r="P125" s="2">
        <v>6186.49</v>
      </c>
      <c r="Q125" t="s">
        <v>44</v>
      </c>
      <c r="R125" s="1">
        <v>44953</v>
      </c>
      <c r="S125" s="1"/>
    </row>
    <row r="126" spans="1:19" x14ac:dyDescent="0.3">
      <c r="A126">
        <v>16377</v>
      </c>
      <c r="B126" t="s">
        <v>35</v>
      </c>
      <c r="C126" t="s">
        <v>18</v>
      </c>
      <c r="D126">
        <v>80000</v>
      </c>
      <c r="E126" t="str">
        <f>IF(Sales_Data[[#This Row],[Income]]&lt;=20000,"Low Income",IF(Sales_Data[[#This Row],[Income]]&lt;=40000,"Lower Middle",IF(Sales_Data[[#This Row],[Income]]&lt;=60000,"Middle Income",IF(Sales_Data[[#This Row],[Income]]&lt;=80000,"Upper Middle","High Income"))))</f>
        <v>Upper Middle</v>
      </c>
      <c r="F126">
        <v>4</v>
      </c>
      <c r="G126" t="s">
        <v>61</v>
      </c>
      <c r="H126" t="s">
        <v>20</v>
      </c>
      <c r="I126" t="s">
        <v>32</v>
      </c>
      <c r="J126">
        <v>0</v>
      </c>
      <c r="K126" t="s">
        <v>22</v>
      </c>
      <c r="L126" t="s">
        <v>63</v>
      </c>
      <c r="M126">
        <v>47</v>
      </c>
      <c r="N126" t="s">
        <v>24</v>
      </c>
      <c r="O126" t="s">
        <v>25</v>
      </c>
      <c r="P126" s="2">
        <v>4537.0600000000004</v>
      </c>
      <c r="Q126" t="s">
        <v>56</v>
      </c>
      <c r="R126" s="1">
        <v>45179</v>
      </c>
      <c r="S126" s="1"/>
    </row>
    <row r="127" spans="1:19" x14ac:dyDescent="0.3">
      <c r="A127">
        <v>23376</v>
      </c>
      <c r="B127" t="s">
        <v>17</v>
      </c>
      <c r="C127" t="s">
        <v>17</v>
      </c>
      <c r="D127">
        <v>70000</v>
      </c>
      <c r="E127" t="str">
        <f>IF(Sales_Data[[#This Row],[Income]]&lt;=20000,"Low Income",IF(Sales_Data[[#This Row],[Income]]&lt;=40000,"Lower Middle",IF(Sales_Data[[#This Row],[Income]]&lt;=60000,"Middle Income",IF(Sales_Data[[#This Row],[Income]]&lt;=80000,"Upper Middle","High Income"))))</f>
        <v>Upper Middle</v>
      </c>
      <c r="F127">
        <v>1</v>
      </c>
      <c r="G127" t="s">
        <v>19</v>
      </c>
      <c r="H127" t="s">
        <v>31</v>
      </c>
      <c r="I127" t="s">
        <v>21</v>
      </c>
      <c r="J127">
        <v>1</v>
      </c>
      <c r="K127" t="s">
        <v>33</v>
      </c>
      <c r="L127" t="s">
        <v>63</v>
      </c>
      <c r="M127">
        <v>44</v>
      </c>
      <c r="N127" t="s">
        <v>24</v>
      </c>
      <c r="O127" t="s">
        <v>55</v>
      </c>
      <c r="P127" s="2">
        <v>9343.69</v>
      </c>
      <c r="Q127" t="s">
        <v>26</v>
      </c>
      <c r="R127" s="1">
        <v>45281</v>
      </c>
      <c r="S127" s="1"/>
    </row>
    <row r="128" spans="1:19" x14ac:dyDescent="0.3">
      <c r="A128">
        <v>28068</v>
      </c>
      <c r="B128" t="s">
        <v>35</v>
      </c>
      <c r="C128" t="s">
        <v>18</v>
      </c>
      <c r="D128">
        <v>80000</v>
      </c>
      <c r="E128" t="str">
        <f>IF(Sales_Data[[#This Row],[Income]]&lt;=20000,"Low Income",IF(Sales_Data[[#This Row],[Income]]&lt;=40000,"Lower Middle",IF(Sales_Data[[#This Row],[Income]]&lt;=60000,"Middle Income",IF(Sales_Data[[#This Row],[Income]]&lt;=80000,"Upper Middle","High Income"))))</f>
        <v>Upper Middle</v>
      </c>
      <c r="F128">
        <v>3</v>
      </c>
      <c r="G128" t="s">
        <v>61</v>
      </c>
      <c r="H128" t="s">
        <v>31</v>
      </c>
      <c r="I128" t="s">
        <v>32</v>
      </c>
      <c r="J128">
        <v>0</v>
      </c>
      <c r="K128" t="s">
        <v>22</v>
      </c>
      <c r="L128" t="s">
        <v>63</v>
      </c>
      <c r="M128">
        <v>36</v>
      </c>
      <c r="N128" t="s">
        <v>24</v>
      </c>
      <c r="O128" t="s">
        <v>34</v>
      </c>
      <c r="P128" s="2">
        <v>4718.59</v>
      </c>
      <c r="Q128" t="s">
        <v>56</v>
      </c>
      <c r="R128" s="1">
        <v>45197</v>
      </c>
      <c r="S128" s="1"/>
    </row>
    <row r="129" spans="1:19" x14ac:dyDescent="0.3">
      <c r="A129">
        <v>18390</v>
      </c>
      <c r="B129" t="s">
        <v>17</v>
      </c>
      <c r="C129" t="s">
        <v>17</v>
      </c>
      <c r="D129">
        <v>80000</v>
      </c>
      <c r="E129" t="str">
        <f>IF(Sales_Data[[#This Row],[Income]]&lt;=20000,"Low Income",IF(Sales_Data[[#This Row],[Income]]&lt;=40000,"Lower Middle",IF(Sales_Data[[#This Row],[Income]]&lt;=60000,"Middle Income",IF(Sales_Data[[#This Row],[Income]]&lt;=80000,"Upper Middle","High Income"))))</f>
        <v>Upper Middle</v>
      </c>
      <c r="F129">
        <v>5</v>
      </c>
      <c r="G129" t="s">
        <v>27</v>
      </c>
      <c r="H129" t="s">
        <v>31</v>
      </c>
      <c r="I129" t="s">
        <v>21</v>
      </c>
      <c r="J129">
        <v>2</v>
      </c>
      <c r="K129" t="s">
        <v>22</v>
      </c>
      <c r="L129" t="s">
        <v>63</v>
      </c>
      <c r="M129">
        <v>44</v>
      </c>
      <c r="N129" t="s">
        <v>24</v>
      </c>
      <c r="O129" t="s">
        <v>34</v>
      </c>
      <c r="P129" s="2">
        <v>1176.54</v>
      </c>
      <c r="Q129" t="s">
        <v>51</v>
      </c>
      <c r="R129" s="1">
        <v>45081</v>
      </c>
      <c r="S129" s="1"/>
    </row>
    <row r="130" spans="1:19" x14ac:dyDescent="0.3">
      <c r="A130">
        <v>16795</v>
      </c>
      <c r="B130" t="s">
        <v>17</v>
      </c>
      <c r="C130" t="s">
        <v>18</v>
      </c>
      <c r="D130">
        <v>70000</v>
      </c>
      <c r="E130" t="str">
        <f>IF(Sales_Data[[#This Row],[Income]]&lt;=20000,"Low Income",IF(Sales_Data[[#This Row],[Income]]&lt;=40000,"Lower Middle",IF(Sales_Data[[#This Row],[Income]]&lt;=60000,"Middle Income",IF(Sales_Data[[#This Row],[Income]]&lt;=80000,"Upper Middle","High Income"))))</f>
        <v>Upper Middle</v>
      </c>
      <c r="F130">
        <v>4</v>
      </c>
      <c r="G130" t="s">
        <v>19</v>
      </c>
      <c r="H130" t="s">
        <v>46</v>
      </c>
      <c r="I130" t="s">
        <v>21</v>
      </c>
      <c r="J130">
        <v>1</v>
      </c>
      <c r="K130" t="s">
        <v>43</v>
      </c>
      <c r="L130" t="s">
        <v>63</v>
      </c>
      <c r="M130">
        <v>59</v>
      </c>
      <c r="N130" t="s">
        <v>38</v>
      </c>
      <c r="O130" t="s">
        <v>62</v>
      </c>
      <c r="P130" s="2">
        <v>1663.65</v>
      </c>
      <c r="Q130" t="s">
        <v>56</v>
      </c>
      <c r="R130" s="1">
        <v>45180</v>
      </c>
      <c r="S130" s="1"/>
    </row>
    <row r="131" spans="1:19" x14ac:dyDescent="0.3">
      <c r="A131">
        <v>11199</v>
      </c>
      <c r="B131" t="s">
        <v>17</v>
      </c>
      <c r="C131" t="s">
        <v>18</v>
      </c>
      <c r="D131">
        <v>70000</v>
      </c>
      <c r="E131" t="str">
        <f>IF(Sales_Data[[#This Row],[Income]]&lt;=20000,"Low Income",IF(Sales_Data[[#This Row],[Income]]&lt;=40000,"Lower Middle",IF(Sales_Data[[#This Row],[Income]]&lt;=60000,"Middle Income",IF(Sales_Data[[#This Row],[Income]]&lt;=80000,"Upper Middle","High Income"))))</f>
        <v>Upper Middle</v>
      </c>
      <c r="F131">
        <v>4</v>
      </c>
      <c r="G131" t="s">
        <v>19</v>
      </c>
      <c r="H131" t="s">
        <v>46</v>
      </c>
      <c r="I131" t="s">
        <v>21</v>
      </c>
      <c r="J131">
        <v>1</v>
      </c>
      <c r="K131" t="s">
        <v>53</v>
      </c>
      <c r="L131" t="s">
        <v>63</v>
      </c>
      <c r="M131">
        <v>59</v>
      </c>
      <c r="N131" t="s">
        <v>24</v>
      </c>
      <c r="O131" t="s">
        <v>34</v>
      </c>
      <c r="P131" s="2">
        <v>1825.48</v>
      </c>
      <c r="Q131" t="s">
        <v>60</v>
      </c>
      <c r="R131" s="1">
        <v>45253</v>
      </c>
      <c r="S131" s="1"/>
    </row>
    <row r="132" spans="1:19" x14ac:dyDescent="0.3">
      <c r="A132">
        <v>17546</v>
      </c>
      <c r="B132" t="s">
        <v>17</v>
      </c>
      <c r="C132" t="s">
        <v>18</v>
      </c>
      <c r="D132">
        <v>70000</v>
      </c>
      <c r="E132" t="str">
        <f>IF(Sales_Data[[#This Row],[Income]]&lt;=20000,"Low Income",IF(Sales_Data[[#This Row],[Income]]&lt;=40000,"Lower Middle",IF(Sales_Data[[#This Row],[Income]]&lt;=60000,"Middle Income",IF(Sales_Data[[#This Row],[Income]]&lt;=80000,"Upper Middle","High Income"))))</f>
        <v>Upper Middle</v>
      </c>
      <c r="F132">
        <v>1</v>
      </c>
      <c r="G132" t="s">
        <v>27</v>
      </c>
      <c r="H132" t="s">
        <v>20</v>
      </c>
      <c r="I132" t="s">
        <v>21</v>
      </c>
      <c r="J132">
        <v>1</v>
      </c>
      <c r="K132" t="s">
        <v>22</v>
      </c>
      <c r="L132" t="s">
        <v>63</v>
      </c>
      <c r="M132">
        <v>44</v>
      </c>
      <c r="N132" t="s">
        <v>24</v>
      </c>
      <c r="O132" t="s">
        <v>34</v>
      </c>
      <c r="P132" s="2">
        <v>8781.9599999999991</v>
      </c>
      <c r="Q132" t="s">
        <v>60</v>
      </c>
      <c r="R132" s="1">
        <v>45249</v>
      </c>
      <c r="S132" s="1"/>
    </row>
    <row r="133" spans="1:19" x14ac:dyDescent="0.3">
      <c r="A133">
        <v>18069</v>
      </c>
      <c r="B133" t="s">
        <v>17</v>
      </c>
      <c r="C133" t="s">
        <v>17</v>
      </c>
      <c r="D133">
        <v>70000</v>
      </c>
      <c r="E133" t="str">
        <f>IF(Sales_Data[[#This Row],[Income]]&lt;=20000,"Low Income",IF(Sales_Data[[#This Row],[Income]]&lt;=40000,"Lower Middle",IF(Sales_Data[[#This Row],[Income]]&lt;=60000,"Middle Income",IF(Sales_Data[[#This Row],[Income]]&lt;=80000,"Upper Middle","High Income"))))</f>
        <v>Upper Middle</v>
      </c>
      <c r="F133">
        <v>5</v>
      </c>
      <c r="G133" t="s">
        <v>19</v>
      </c>
      <c r="H133" t="s">
        <v>46</v>
      </c>
      <c r="I133" t="s">
        <v>21</v>
      </c>
      <c r="J133">
        <v>4</v>
      </c>
      <c r="K133" t="s">
        <v>53</v>
      </c>
      <c r="L133" t="s">
        <v>63</v>
      </c>
      <c r="M133">
        <v>60</v>
      </c>
      <c r="N133" t="s">
        <v>24</v>
      </c>
      <c r="O133" t="s">
        <v>49</v>
      </c>
      <c r="P133" s="2">
        <v>8939.4599999999991</v>
      </c>
      <c r="Q133" t="s">
        <v>44</v>
      </c>
      <c r="R133" s="1">
        <v>44944</v>
      </c>
      <c r="S133" s="1"/>
    </row>
    <row r="134" spans="1:19" x14ac:dyDescent="0.3">
      <c r="A134">
        <v>23712</v>
      </c>
      <c r="B134" t="s">
        <v>35</v>
      </c>
      <c r="C134" t="s">
        <v>18</v>
      </c>
      <c r="D134">
        <v>70000</v>
      </c>
      <c r="E134" t="str">
        <f>IF(Sales_Data[[#This Row],[Income]]&lt;=20000,"Low Income",IF(Sales_Data[[#This Row],[Income]]&lt;=40000,"Lower Middle",IF(Sales_Data[[#This Row],[Income]]&lt;=60000,"Middle Income",IF(Sales_Data[[#This Row],[Income]]&lt;=80000,"Upper Middle","High Income"))))</f>
        <v>Upper Middle</v>
      </c>
      <c r="F134">
        <v>2</v>
      </c>
      <c r="G134" t="s">
        <v>19</v>
      </c>
      <c r="H134" t="s">
        <v>46</v>
      </c>
      <c r="I134" t="s">
        <v>21</v>
      </c>
      <c r="J134">
        <v>1</v>
      </c>
      <c r="K134" t="s">
        <v>53</v>
      </c>
      <c r="L134" t="s">
        <v>63</v>
      </c>
      <c r="M134">
        <v>59</v>
      </c>
      <c r="N134" t="s">
        <v>24</v>
      </c>
      <c r="O134" t="s">
        <v>49</v>
      </c>
      <c r="P134" s="2">
        <v>1293.97</v>
      </c>
      <c r="Q134" t="s">
        <v>40</v>
      </c>
      <c r="R134" s="1">
        <v>45076</v>
      </c>
      <c r="S134" s="1"/>
    </row>
    <row r="135" spans="1:19" x14ac:dyDescent="0.3">
      <c r="A135">
        <v>20518</v>
      </c>
      <c r="B135" t="s">
        <v>17</v>
      </c>
      <c r="C135" t="s">
        <v>18</v>
      </c>
      <c r="D135">
        <v>70000</v>
      </c>
      <c r="E135" t="str">
        <f>IF(Sales_Data[[#This Row],[Income]]&lt;=20000,"Low Income",IF(Sales_Data[[#This Row],[Income]]&lt;=40000,"Lower Middle",IF(Sales_Data[[#This Row],[Income]]&lt;=60000,"Middle Income",IF(Sales_Data[[#This Row],[Income]]&lt;=80000,"Upper Middle","High Income"))))</f>
        <v>Upper Middle</v>
      </c>
      <c r="F135">
        <v>2</v>
      </c>
      <c r="G135" t="s">
        <v>27</v>
      </c>
      <c r="H135" t="s">
        <v>31</v>
      </c>
      <c r="I135" t="s">
        <v>21</v>
      </c>
      <c r="J135">
        <v>1</v>
      </c>
      <c r="K135" t="s">
        <v>53</v>
      </c>
      <c r="L135" t="s">
        <v>63</v>
      </c>
      <c r="M135">
        <v>58</v>
      </c>
      <c r="N135" t="s">
        <v>38</v>
      </c>
      <c r="O135" t="s">
        <v>54</v>
      </c>
      <c r="P135" s="2">
        <v>4120.7</v>
      </c>
      <c r="Q135" t="s">
        <v>30</v>
      </c>
      <c r="R135" s="1">
        <v>44993</v>
      </c>
      <c r="S135" s="1"/>
    </row>
    <row r="136" spans="1:19" x14ac:dyDescent="0.3">
      <c r="A136">
        <v>11669</v>
      </c>
      <c r="B136" t="s">
        <v>35</v>
      </c>
      <c r="C136" t="s">
        <v>18</v>
      </c>
      <c r="D136">
        <v>70000</v>
      </c>
      <c r="E136" t="str">
        <f>IF(Sales_Data[[#This Row],[Income]]&lt;=20000,"Low Income",IF(Sales_Data[[#This Row],[Income]]&lt;=40000,"Lower Middle",IF(Sales_Data[[#This Row],[Income]]&lt;=60000,"Middle Income",IF(Sales_Data[[#This Row],[Income]]&lt;=80000,"Upper Middle","High Income"))))</f>
        <v>Upper Middle</v>
      </c>
      <c r="F136">
        <v>2</v>
      </c>
      <c r="G136" t="s">
        <v>19</v>
      </c>
      <c r="H136" t="s">
        <v>20</v>
      </c>
      <c r="I136" t="s">
        <v>21</v>
      </c>
      <c r="J136">
        <v>1</v>
      </c>
      <c r="K136" t="s">
        <v>33</v>
      </c>
      <c r="L136" t="s">
        <v>63</v>
      </c>
      <c r="M136">
        <v>38</v>
      </c>
      <c r="N136" t="s">
        <v>24</v>
      </c>
      <c r="O136" t="s">
        <v>29</v>
      </c>
      <c r="P136" s="2">
        <v>5851.46</v>
      </c>
      <c r="Q136" t="s">
        <v>26</v>
      </c>
      <c r="R136" s="1">
        <v>45272</v>
      </c>
      <c r="S136" s="1"/>
    </row>
    <row r="137" spans="1:19" x14ac:dyDescent="0.3">
      <c r="A137">
        <v>27198</v>
      </c>
      <c r="B137" t="s">
        <v>35</v>
      </c>
      <c r="C137" t="s">
        <v>18</v>
      </c>
      <c r="D137">
        <v>80000</v>
      </c>
      <c r="E137" t="str">
        <f>IF(Sales_Data[[#This Row],[Income]]&lt;=20000,"Low Income",IF(Sales_Data[[#This Row],[Income]]&lt;=40000,"Lower Middle",IF(Sales_Data[[#This Row],[Income]]&lt;=60000,"Middle Income",IF(Sales_Data[[#This Row],[Income]]&lt;=80000,"Upper Middle","High Income"))))</f>
        <v>Upper Middle</v>
      </c>
      <c r="F137">
        <v>0</v>
      </c>
      <c r="G137" t="s">
        <v>61</v>
      </c>
      <c r="H137" t="s">
        <v>20</v>
      </c>
      <c r="I137" t="s">
        <v>32</v>
      </c>
      <c r="J137">
        <v>0</v>
      </c>
      <c r="K137" t="s">
        <v>22</v>
      </c>
      <c r="L137" t="s">
        <v>63</v>
      </c>
      <c r="M137">
        <v>40</v>
      </c>
      <c r="N137" t="s">
        <v>38</v>
      </c>
      <c r="O137" t="s">
        <v>62</v>
      </c>
      <c r="P137" s="2">
        <v>7521.5</v>
      </c>
      <c r="Q137" t="s">
        <v>26</v>
      </c>
      <c r="R137" s="1">
        <v>45275</v>
      </c>
      <c r="S137" s="1"/>
    </row>
    <row r="138" spans="1:19" x14ac:dyDescent="0.3">
      <c r="A138">
        <v>26327</v>
      </c>
      <c r="B138" t="s">
        <v>17</v>
      </c>
      <c r="C138" t="s">
        <v>17</v>
      </c>
      <c r="D138">
        <v>70000</v>
      </c>
      <c r="E138" t="str">
        <f>IF(Sales_Data[[#This Row],[Income]]&lt;=20000,"Low Income",IF(Sales_Data[[#This Row],[Income]]&lt;=40000,"Lower Middle",IF(Sales_Data[[#This Row],[Income]]&lt;=60000,"Middle Income",IF(Sales_Data[[#This Row],[Income]]&lt;=80000,"Upper Middle","High Income"))))</f>
        <v>Upper Middle</v>
      </c>
      <c r="F138">
        <v>4</v>
      </c>
      <c r="G138" t="s">
        <v>61</v>
      </c>
      <c r="H138" t="s">
        <v>31</v>
      </c>
      <c r="I138" t="s">
        <v>21</v>
      </c>
      <c r="J138">
        <v>0</v>
      </c>
      <c r="K138" t="s">
        <v>33</v>
      </c>
      <c r="L138" t="s">
        <v>63</v>
      </c>
      <c r="M138">
        <v>36</v>
      </c>
      <c r="N138" t="s">
        <v>24</v>
      </c>
      <c r="O138" t="s">
        <v>34</v>
      </c>
      <c r="P138" s="2">
        <v>1565.18</v>
      </c>
      <c r="Q138" t="s">
        <v>44</v>
      </c>
      <c r="R138" s="1">
        <v>44929</v>
      </c>
      <c r="S138" s="1"/>
    </row>
    <row r="139" spans="1:19" x14ac:dyDescent="0.3">
      <c r="A139">
        <v>26341</v>
      </c>
      <c r="B139" t="s">
        <v>17</v>
      </c>
      <c r="C139" t="s">
        <v>18</v>
      </c>
      <c r="D139">
        <v>70000</v>
      </c>
      <c r="E139" t="str">
        <f>IF(Sales_Data[[#This Row],[Income]]&lt;=20000,"Low Income",IF(Sales_Data[[#This Row],[Income]]&lt;=40000,"Lower Middle",IF(Sales_Data[[#This Row],[Income]]&lt;=60000,"Middle Income",IF(Sales_Data[[#This Row],[Income]]&lt;=80000,"Upper Middle","High Income"))))</f>
        <v>Upper Middle</v>
      </c>
      <c r="F139">
        <v>5</v>
      </c>
      <c r="G139" t="s">
        <v>61</v>
      </c>
      <c r="H139" t="s">
        <v>31</v>
      </c>
      <c r="I139" t="s">
        <v>21</v>
      </c>
      <c r="J139">
        <v>2</v>
      </c>
      <c r="K139" t="s">
        <v>22</v>
      </c>
      <c r="L139" t="s">
        <v>63</v>
      </c>
      <c r="M139">
        <v>37</v>
      </c>
      <c r="N139" t="s">
        <v>38</v>
      </c>
      <c r="O139" t="s">
        <v>62</v>
      </c>
      <c r="P139" s="2">
        <v>8260.5400000000009</v>
      </c>
      <c r="Q139" t="s">
        <v>57</v>
      </c>
      <c r="R139" s="1">
        <v>45215</v>
      </c>
      <c r="S139" s="1"/>
    </row>
    <row r="140" spans="1:19" x14ac:dyDescent="0.3">
      <c r="A140">
        <v>14493</v>
      </c>
      <c r="B140" t="s">
        <v>35</v>
      </c>
      <c r="C140" t="s">
        <v>18</v>
      </c>
      <c r="D140">
        <v>70000</v>
      </c>
      <c r="E140" t="str">
        <f>IF(Sales_Data[[#This Row],[Income]]&lt;=20000,"Low Income",IF(Sales_Data[[#This Row],[Income]]&lt;=40000,"Lower Middle",IF(Sales_Data[[#This Row],[Income]]&lt;=60000,"Middle Income",IF(Sales_Data[[#This Row],[Income]]&lt;=80000,"Upper Middle","High Income"))))</f>
        <v>Upper Middle</v>
      </c>
      <c r="F140">
        <v>3</v>
      </c>
      <c r="G140" t="s">
        <v>61</v>
      </c>
      <c r="H140" t="s">
        <v>46</v>
      </c>
      <c r="I140" t="s">
        <v>32</v>
      </c>
      <c r="J140">
        <v>2</v>
      </c>
      <c r="K140" t="s">
        <v>43</v>
      </c>
      <c r="L140" t="s">
        <v>63</v>
      </c>
      <c r="M140">
        <v>53</v>
      </c>
      <c r="N140" t="s">
        <v>38</v>
      </c>
      <c r="O140" t="s">
        <v>54</v>
      </c>
      <c r="P140" s="2">
        <v>3678.73</v>
      </c>
      <c r="Q140" t="s">
        <v>59</v>
      </c>
      <c r="R140" s="1">
        <v>45044</v>
      </c>
      <c r="S140" s="1"/>
    </row>
    <row r="141" spans="1:19" x14ac:dyDescent="0.3">
      <c r="A141">
        <v>26678</v>
      </c>
      <c r="B141" t="s">
        <v>35</v>
      </c>
      <c r="C141" t="s">
        <v>18</v>
      </c>
      <c r="D141">
        <v>80000</v>
      </c>
      <c r="E141" t="str">
        <f>IF(Sales_Data[[#This Row],[Income]]&lt;=20000,"Low Income",IF(Sales_Data[[#This Row],[Income]]&lt;=40000,"Lower Middle",IF(Sales_Data[[#This Row],[Income]]&lt;=60000,"Middle Income",IF(Sales_Data[[#This Row],[Income]]&lt;=80000,"Upper Middle","High Income"))))</f>
        <v>Upper Middle</v>
      </c>
      <c r="F141">
        <v>2</v>
      </c>
      <c r="G141" t="s">
        <v>50</v>
      </c>
      <c r="H141" t="s">
        <v>20</v>
      </c>
      <c r="I141" t="s">
        <v>21</v>
      </c>
      <c r="J141">
        <v>2</v>
      </c>
      <c r="K141" t="s">
        <v>36</v>
      </c>
      <c r="L141" t="s">
        <v>63</v>
      </c>
      <c r="M141">
        <v>49</v>
      </c>
      <c r="N141" t="s">
        <v>24</v>
      </c>
      <c r="O141" t="s">
        <v>49</v>
      </c>
      <c r="P141" s="2">
        <v>4133.84</v>
      </c>
      <c r="Q141" t="s">
        <v>26</v>
      </c>
      <c r="R141" s="1">
        <v>45280</v>
      </c>
      <c r="S141" s="1"/>
    </row>
    <row r="142" spans="1:19" x14ac:dyDescent="0.3">
      <c r="A142">
        <v>16144</v>
      </c>
      <c r="B142" t="s">
        <v>17</v>
      </c>
      <c r="C142" t="s">
        <v>17</v>
      </c>
      <c r="D142">
        <v>70000</v>
      </c>
      <c r="E142" t="str">
        <f>IF(Sales_Data[[#This Row],[Income]]&lt;=20000,"Low Income",IF(Sales_Data[[#This Row],[Income]]&lt;=40000,"Lower Middle",IF(Sales_Data[[#This Row],[Income]]&lt;=60000,"Middle Income",IF(Sales_Data[[#This Row],[Income]]&lt;=80000,"Upper Middle","High Income"))))</f>
        <v>Upper Middle</v>
      </c>
      <c r="F142">
        <v>1</v>
      </c>
      <c r="G142" t="s">
        <v>61</v>
      </c>
      <c r="H142" t="s">
        <v>31</v>
      </c>
      <c r="I142" t="s">
        <v>21</v>
      </c>
      <c r="J142">
        <v>1</v>
      </c>
      <c r="K142" t="s">
        <v>22</v>
      </c>
      <c r="L142" t="s">
        <v>63</v>
      </c>
      <c r="M142">
        <v>46</v>
      </c>
      <c r="N142" t="s">
        <v>38</v>
      </c>
      <c r="O142" t="s">
        <v>54</v>
      </c>
      <c r="P142" s="2">
        <v>4134.75</v>
      </c>
      <c r="Q142" t="s">
        <v>26</v>
      </c>
      <c r="R142" s="1">
        <v>45269</v>
      </c>
      <c r="S142" s="1"/>
    </row>
    <row r="143" spans="1:19" x14ac:dyDescent="0.3">
      <c r="A143">
        <v>18504</v>
      </c>
      <c r="B143" t="s">
        <v>17</v>
      </c>
      <c r="C143" t="s">
        <v>17</v>
      </c>
      <c r="D143">
        <v>70000</v>
      </c>
      <c r="E143" t="str">
        <f>IF(Sales_Data[[#This Row],[Income]]&lt;=20000,"Low Income",IF(Sales_Data[[#This Row],[Income]]&lt;=40000,"Lower Middle",IF(Sales_Data[[#This Row],[Income]]&lt;=60000,"Middle Income",IF(Sales_Data[[#This Row],[Income]]&lt;=80000,"Upper Middle","High Income"))))</f>
        <v>Upper Middle</v>
      </c>
      <c r="F143">
        <v>2</v>
      </c>
      <c r="G143" t="s">
        <v>50</v>
      </c>
      <c r="H143" t="s">
        <v>20</v>
      </c>
      <c r="I143" t="s">
        <v>32</v>
      </c>
      <c r="J143">
        <v>2</v>
      </c>
      <c r="K143" t="s">
        <v>43</v>
      </c>
      <c r="L143" t="s">
        <v>63</v>
      </c>
      <c r="M143">
        <v>49</v>
      </c>
      <c r="N143" t="s">
        <v>38</v>
      </c>
      <c r="O143" t="s">
        <v>47</v>
      </c>
      <c r="P143" s="2">
        <v>1933.14</v>
      </c>
      <c r="Q143" t="s">
        <v>51</v>
      </c>
      <c r="R143" s="1">
        <v>45103</v>
      </c>
      <c r="S143" s="1"/>
    </row>
    <row r="144" spans="1:19" x14ac:dyDescent="0.3">
      <c r="A144">
        <v>20535</v>
      </c>
      <c r="B144" t="s">
        <v>17</v>
      </c>
      <c r="C144" t="s">
        <v>18</v>
      </c>
      <c r="D144">
        <v>70000</v>
      </c>
      <c r="E144" t="str">
        <f>IF(Sales_Data[[#This Row],[Income]]&lt;=20000,"Low Income",IF(Sales_Data[[#This Row],[Income]]&lt;=40000,"Lower Middle",IF(Sales_Data[[#This Row],[Income]]&lt;=60000,"Middle Income",IF(Sales_Data[[#This Row],[Income]]&lt;=80000,"Upper Middle","High Income"))))</f>
        <v>Upper Middle</v>
      </c>
      <c r="F144">
        <v>4</v>
      </c>
      <c r="G144" t="s">
        <v>27</v>
      </c>
      <c r="H144" t="s">
        <v>31</v>
      </c>
      <c r="I144" t="s">
        <v>21</v>
      </c>
      <c r="J144">
        <v>1</v>
      </c>
      <c r="K144" t="s">
        <v>53</v>
      </c>
      <c r="L144" t="s">
        <v>63</v>
      </c>
      <c r="M144">
        <v>56</v>
      </c>
      <c r="N144" t="s">
        <v>38</v>
      </c>
      <c r="O144" t="s">
        <v>54</v>
      </c>
      <c r="P144" s="2">
        <v>4637.7</v>
      </c>
      <c r="Q144" t="s">
        <v>52</v>
      </c>
      <c r="R144" s="1">
        <v>44978</v>
      </c>
      <c r="S144" s="1"/>
    </row>
    <row r="145" spans="1:19" x14ac:dyDescent="0.3">
      <c r="A145">
        <v>12957</v>
      </c>
      <c r="B145" t="s">
        <v>35</v>
      </c>
      <c r="C145" t="s">
        <v>18</v>
      </c>
      <c r="D145">
        <v>70000</v>
      </c>
      <c r="E145" t="str">
        <f>IF(Sales_Data[[#This Row],[Income]]&lt;=20000,"Low Income",IF(Sales_Data[[#This Row],[Income]]&lt;=40000,"Lower Middle",IF(Sales_Data[[#This Row],[Income]]&lt;=60000,"Middle Income",IF(Sales_Data[[#This Row],[Income]]&lt;=80000,"Upper Middle","High Income"))))</f>
        <v>Upper Middle</v>
      </c>
      <c r="F145">
        <v>1</v>
      </c>
      <c r="G145" t="s">
        <v>19</v>
      </c>
      <c r="H145" t="s">
        <v>31</v>
      </c>
      <c r="I145" t="s">
        <v>32</v>
      </c>
      <c r="J145">
        <v>1</v>
      </c>
      <c r="K145" t="s">
        <v>22</v>
      </c>
      <c r="L145" t="s">
        <v>63</v>
      </c>
      <c r="M145">
        <v>44</v>
      </c>
      <c r="N145" t="s">
        <v>24</v>
      </c>
      <c r="O145" t="s">
        <v>25</v>
      </c>
      <c r="P145" s="2">
        <v>1803.58</v>
      </c>
      <c r="Q145" t="s">
        <v>26</v>
      </c>
      <c r="R145" s="1">
        <v>45279</v>
      </c>
      <c r="S145" s="1"/>
    </row>
    <row r="146" spans="1:19" x14ac:dyDescent="0.3">
      <c r="A146">
        <v>20514</v>
      </c>
      <c r="B146" t="s">
        <v>17</v>
      </c>
      <c r="C146" t="s">
        <v>18</v>
      </c>
      <c r="D146">
        <v>70000</v>
      </c>
      <c r="E146" t="str">
        <f>IF(Sales_Data[[#This Row],[Income]]&lt;=20000,"Low Income",IF(Sales_Data[[#This Row],[Income]]&lt;=40000,"Lower Middle",IF(Sales_Data[[#This Row],[Income]]&lt;=60000,"Middle Income",IF(Sales_Data[[#This Row],[Income]]&lt;=80000,"Upper Middle","High Income"))))</f>
        <v>Upper Middle</v>
      </c>
      <c r="F146">
        <v>2</v>
      </c>
      <c r="G146" t="s">
        <v>27</v>
      </c>
      <c r="H146" t="s">
        <v>31</v>
      </c>
      <c r="I146" t="s">
        <v>21</v>
      </c>
      <c r="J146">
        <v>1</v>
      </c>
      <c r="K146" t="s">
        <v>33</v>
      </c>
      <c r="L146" t="s">
        <v>63</v>
      </c>
      <c r="M146">
        <v>59</v>
      </c>
      <c r="N146" t="s">
        <v>24</v>
      </c>
      <c r="O146" t="s">
        <v>25</v>
      </c>
      <c r="P146" s="2">
        <v>8417.2000000000007</v>
      </c>
      <c r="Q146" t="s">
        <v>59</v>
      </c>
      <c r="R146" s="1">
        <v>45023</v>
      </c>
      <c r="S146" s="1"/>
    </row>
    <row r="147" spans="1:19" x14ac:dyDescent="0.3">
      <c r="A147">
        <v>21714</v>
      </c>
      <c r="B147" t="s">
        <v>35</v>
      </c>
      <c r="C147" t="s">
        <v>18</v>
      </c>
      <c r="D147">
        <v>80000</v>
      </c>
      <c r="E147" t="str">
        <f>IF(Sales_Data[[#This Row],[Income]]&lt;=20000,"Low Income",IF(Sales_Data[[#This Row],[Income]]&lt;=40000,"Lower Middle",IF(Sales_Data[[#This Row],[Income]]&lt;=60000,"Middle Income",IF(Sales_Data[[#This Row],[Income]]&lt;=80000,"Upper Middle","High Income"))))</f>
        <v>Upper Middle</v>
      </c>
      <c r="F147">
        <v>5</v>
      </c>
      <c r="G147" t="s">
        <v>61</v>
      </c>
      <c r="H147" t="s">
        <v>20</v>
      </c>
      <c r="I147" t="s">
        <v>32</v>
      </c>
      <c r="J147">
        <v>0</v>
      </c>
      <c r="K147" t="s">
        <v>22</v>
      </c>
      <c r="L147" t="s">
        <v>63</v>
      </c>
      <c r="M147">
        <v>47</v>
      </c>
      <c r="N147" t="s">
        <v>24</v>
      </c>
      <c r="O147" t="s">
        <v>34</v>
      </c>
      <c r="P147" s="2">
        <v>8185.17</v>
      </c>
      <c r="Q147" t="s">
        <v>57</v>
      </c>
      <c r="R147" s="1">
        <v>45229</v>
      </c>
      <c r="S147" s="1"/>
    </row>
    <row r="148" spans="1:19" x14ac:dyDescent="0.3">
      <c r="A148">
        <v>16753</v>
      </c>
      <c r="B148" t="s">
        <v>35</v>
      </c>
      <c r="C148" t="s">
        <v>18</v>
      </c>
      <c r="D148">
        <v>70000</v>
      </c>
      <c r="E148" t="str">
        <f>IF(Sales_Data[[#This Row],[Income]]&lt;=20000,"Low Income",IF(Sales_Data[[#This Row],[Income]]&lt;=40000,"Lower Middle",IF(Sales_Data[[#This Row],[Income]]&lt;=60000,"Middle Income",IF(Sales_Data[[#This Row],[Income]]&lt;=80000,"Upper Middle","High Income"))))</f>
        <v>Upper Middle</v>
      </c>
      <c r="F148">
        <v>0</v>
      </c>
      <c r="G148" t="s">
        <v>27</v>
      </c>
      <c r="H148" t="s">
        <v>20</v>
      </c>
      <c r="I148" t="s">
        <v>21</v>
      </c>
      <c r="J148">
        <v>2</v>
      </c>
      <c r="K148" t="s">
        <v>36</v>
      </c>
      <c r="L148" t="s">
        <v>63</v>
      </c>
      <c r="M148">
        <v>34</v>
      </c>
      <c r="N148" t="s">
        <v>38</v>
      </c>
      <c r="O148" t="s">
        <v>47</v>
      </c>
      <c r="P148" s="2">
        <v>4719.0600000000004</v>
      </c>
      <c r="Q148" t="s">
        <v>40</v>
      </c>
      <c r="R148" s="1">
        <v>45062</v>
      </c>
      <c r="S148" s="1"/>
    </row>
    <row r="149" spans="1:19" x14ac:dyDescent="0.3">
      <c r="A149">
        <v>14657</v>
      </c>
      <c r="B149" t="s">
        <v>17</v>
      </c>
      <c r="C149" t="s">
        <v>17</v>
      </c>
      <c r="D149">
        <v>80000</v>
      </c>
      <c r="E149" t="str">
        <f>IF(Sales_Data[[#This Row],[Income]]&lt;=20000,"Low Income",IF(Sales_Data[[#This Row],[Income]]&lt;=40000,"Lower Middle",IF(Sales_Data[[#This Row],[Income]]&lt;=60000,"Middle Income",IF(Sales_Data[[#This Row],[Income]]&lt;=80000,"Upper Middle","High Income"))))</f>
        <v>Upper Middle</v>
      </c>
      <c r="F149">
        <v>1</v>
      </c>
      <c r="G149" t="s">
        <v>27</v>
      </c>
      <c r="H149" t="s">
        <v>20</v>
      </c>
      <c r="I149" t="s">
        <v>32</v>
      </c>
      <c r="J149">
        <v>1</v>
      </c>
      <c r="K149" t="s">
        <v>22</v>
      </c>
      <c r="L149" t="s">
        <v>63</v>
      </c>
      <c r="M149">
        <v>47</v>
      </c>
      <c r="N149" t="s">
        <v>24</v>
      </c>
      <c r="O149" t="s">
        <v>49</v>
      </c>
      <c r="P149" s="2">
        <v>7447.75</v>
      </c>
      <c r="Q149" t="s">
        <v>59</v>
      </c>
      <c r="R149" s="1">
        <v>45046</v>
      </c>
      <c r="S149" s="1"/>
    </row>
    <row r="150" spans="1:19" x14ac:dyDescent="0.3">
      <c r="A150">
        <v>14602</v>
      </c>
      <c r="B150" t="s">
        <v>17</v>
      </c>
      <c r="C150" t="s">
        <v>18</v>
      </c>
      <c r="D150">
        <v>80000</v>
      </c>
      <c r="E150" t="str">
        <f>IF(Sales_Data[[#This Row],[Income]]&lt;=20000,"Low Income",IF(Sales_Data[[#This Row],[Income]]&lt;=40000,"Lower Middle",IF(Sales_Data[[#This Row],[Income]]&lt;=60000,"Middle Income",IF(Sales_Data[[#This Row],[Income]]&lt;=80000,"Upper Middle","High Income"))))</f>
        <v>Upper Middle</v>
      </c>
      <c r="F150">
        <v>3</v>
      </c>
      <c r="G150" t="s">
        <v>61</v>
      </c>
      <c r="H150" t="s">
        <v>31</v>
      </c>
      <c r="I150" t="s">
        <v>21</v>
      </c>
      <c r="J150">
        <v>0</v>
      </c>
      <c r="K150" t="s">
        <v>22</v>
      </c>
      <c r="L150" t="s">
        <v>63</v>
      </c>
      <c r="M150">
        <v>36</v>
      </c>
      <c r="N150" t="s">
        <v>38</v>
      </c>
      <c r="O150" t="s">
        <v>39</v>
      </c>
      <c r="P150" s="2">
        <v>3291.49</v>
      </c>
      <c r="Q150" t="s">
        <v>58</v>
      </c>
      <c r="R150" s="1">
        <v>45121</v>
      </c>
      <c r="S150" s="1"/>
    </row>
    <row r="151" spans="1:19" x14ac:dyDescent="0.3">
      <c r="A151">
        <v>29030</v>
      </c>
      <c r="B151" t="s">
        <v>17</v>
      </c>
      <c r="C151" t="s">
        <v>17</v>
      </c>
      <c r="D151">
        <v>70000</v>
      </c>
      <c r="E151" t="str">
        <f>IF(Sales_Data[[#This Row],[Income]]&lt;=20000,"Low Income",IF(Sales_Data[[#This Row],[Income]]&lt;=40000,"Lower Middle",IF(Sales_Data[[#This Row],[Income]]&lt;=60000,"Middle Income",IF(Sales_Data[[#This Row],[Income]]&lt;=80000,"Upper Middle","High Income"))))</f>
        <v>Upper Middle</v>
      </c>
      <c r="F151">
        <v>2</v>
      </c>
      <c r="G151" t="s">
        <v>50</v>
      </c>
      <c r="H151" t="s">
        <v>20</v>
      </c>
      <c r="I151" t="s">
        <v>21</v>
      </c>
      <c r="J151">
        <v>2</v>
      </c>
      <c r="K151" t="s">
        <v>53</v>
      </c>
      <c r="L151" t="s">
        <v>63</v>
      </c>
      <c r="M151">
        <v>54</v>
      </c>
      <c r="N151" t="s">
        <v>38</v>
      </c>
      <c r="O151" t="s">
        <v>62</v>
      </c>
      <c r="P151" s="2">
        <v>4231.83</v>
      </c>
      <c r="Q151" t="s">
        <v>30</v>
      </c>
      <c r="R151" s="1">
        <v>44997</v>
      </c>
      <c r="S151" s="1"/>
    </row>
    <row r="152" spans="1:19" x14ac:dyDescent="0.3">
      <c r="A152">
        <v>26490</v>
      </c>
      <c r="B152" t="s">
        <v>35</v>
      </c>
      <c r="C152" t="s">
        <v>17</v>
      </c>
      <c r="D152">
        <v>70000</v>
      </c>
      <c r="E152" t="str">
        <f>IF(Sales_Data[[#This Row],[Income]]&lt;=20000,"Low Income",IF(Sales_Data[[#This Row],[Income]]&lt;=40000,"Lower Middle",IF(Sales_Data[[#This Row],[Income]]&lt;=60000,"Middle Income",IF(Sales_Data[[#This Row],[Income]]&lt;=80000,"Upper Middle","High Income"))))</f>
        <v>Upper Middle</v>
      </c>
      <c r="F152">
        <v>2</v>
      </c>
      <c r="G152" t="s">
        <v>19</v>
      </c>
      <c r="H152" t="s">
        <v>46</v>
      </c>
      <c r="I152" t="s">
        <v>32</v>
      </c>
      <c r="J152">
        <v>1</v>
      </c>
      <c r="K152" t="s">
        <v>33</v>
      </c>
      <c r="L152" t="s">
        <v>63</v>
      </c>
      <c r="M152">
        <v>59</v>
      </c>
      <c r="N152" t="s">
        <v>38</v>
      </c>
      <c r="O152" t="s">
        <v>39</v>
      </c>
      <c r="P152" s="2">
        <v>7770.78</v>
      </c>
      <c r="Q152" t="s">
        <v>30</v>
      </c>
      <c r="R152" s="1">
        <v>45010</v>
      </c>
      <c r="S152" s="1"/>
    </row>
    <row r="153" spans="1:19" x14ac:dyDescent="0.3">
      <c r="A153">
        <v>15372</v>
      </c>
      <c r="B153" t="s">
        <v>17</v>
      </c>
      <c r="C153" t="s">
        <v>17</v>
      </c>
      <c r="D153">
        <v>80000</v>
      </c>
      <c r="E153" t="str">
        <f>IF(Sales_Data[[#This Row],[Income]]&lt;=20000,"Low Income",IF(Sales_Data[[#This Row],[Income]]&lt;=40000,"Lower Middle",IF(Sales_Data[[#This Row],[Income]]&lt;=60000,"Middle Income",IF(Sales_Data[[#This Row],[Income]]&lt;=80000,"Upper Middle","High Income"))))</f>
        <v>Upper Middle</v>
      </c>
      <c r="F153">
        <v>3</v>
      </c>
      <c r="G153" t="s">
        <v>27</v>
      </c>
      <c r="H153" t="s">
        <v>31</v>
      </c>
      <c r="I153" t="s">
        <v>32</v>
      </c>
      <c r="J153">
        <v>2</v>
      </c>
      <c r="K153" t="s">
        <v>33</v>
      </c>
      <c r="L153" t="s">
        <v>63</v>
      </c>
      <c r="M153">
        <v>50</v>
      </c>
      <c r="N153" t="s">
        <v>38</v>
      </c>
      <c r="O153" t="s">
        <v>62</v>
      </c>
      <c r="P153" s="2">
        <v>230.17</v>
      </c>
      <c r="Q153" t="s">
        <v>56</v>
      </c>
      <c r="R153" s="1">
        <v>45178</v>
      </c>
      <c r="S153" s="1"/>
    </row>
    <row r="154" spans="1:19" x14ac:dyDescent="0.3">
      <c r="A154">
        <v>19660</v>
      </c>
      <c r="B154" t="s">
        <v>17</v>
      </c>
      <c r="C154" t="s">
        <v>17</v>
      </c>
      <c r="D154">
        <v>80000</v>
      </c>
      <c r="E154" t="str">
        <f>IF(Sales_Data[[#This Row],[Income]]&lt;=20000,"Low Income",IF(Sales_Data[[#This Row],[Income]]&lt;=40000,"Lower Middle",IF(Sales_Data[[#This Row],[Income]]&lt;=60000,"Middle Income",IF(Sales_Data[[#This Row],[Income]]&lt;=80000,"Upper Middle","High Income"))))</f>
        <v>Upper Middle</v>
      </c>
      <c r="F154">
        <v>4</v>
      </c>
      <c r="G154" t="s">
        <v>19</v>
      </c>
      <c r="H154" t="s">
        <v>46</v>
      </c>
      <c r="I154" t="s">
        <v>21</v>
      </c>
      <c r="J154">
        <v>0</v>
      </c>
      <c r="K154" t="s">
        <v>22</v>
      </c>
      <c r="L154" t="s">
        <v>63</v>
      </c>
      <c r="M154">
        <v>43</v>
      </c>
      <c r="N154" t="s">
        <v>24</v>
      </c>
      <c r="O154" t="s">
        <v>49</v>
      </c>
      <c r="P154" s="2">
        <v>9280.09</v>
      </c>
      <c r="Q154" t="s">
        <v>56</v>
      </c>
      <c r="R154" s="1">
        <v>45174</v>
      </c>
      <c r="S154" s="1"/>
    </row>
    <row r="155" spans="1:19" x14ac:dyDescent="0.3">
      <c r="A155">
        <v>16112</v>
      </c>
      <c r="B155" t="s">
        <v>35</v>
      </c>
      <c r="C155" t="s">
        <v>17</v>
      </c>
      <c r="D155">
        <v>70000</v>
      </c>
      <c r="E155" t="str">
        <f>IF(Sales_Data[[#This Row],[Income]]&lt;=20000,"Low Income",IF(Sales_Data[[#This Row],[Income]]&lt;=40000,"Lower Middle",IF(Sales_Data[[#This Row],[Income]]&lt;=60000,"Middle Income",IF(Sales_Data[[#This Row],[Income]]&lt;=80000,"Upper Middle","High Income"))))</f>
        <v>Upper Middle</v>
      </c>
      <c r="F155">
        <v>4</v>
      </c>
      <c r="G155" t="s">
        <v>19</v>
      </c>
      <c r="H155" t="s">
        <v>31</v>
      </c>
      <c r="I155" t="s">
        <v>21</v>
      </c>
      <c r="J155">
        <v>2</v>
      </c>
      <c r="K155" t="s">
        <v>33</v>
      </c>
      <c r="L155" t="s">
        <v>63</v>
      </c>
      <c r="M155">
        <v>43</v>
      </c>
      <c r="N155" t="s">
        <v>38</v>
      </c>
      <c r="O155" t="s">
        <v>62</v>
      </c>
      <c r="P155" s="2">
        <v>7765.86</v>
      </c>
      <c r="Q155" t="s">
        <v>30</v>
      </c>
      <c r="R155" s="1">
        <v>45011</v>
      </c>
      <c r="S155" s="1"/>
    </row>
    <row r="156" spans="1:19" x14ac:dyDescent="0.3">
      <c r="A156">
        <v>28031</v>
      </c>
      <c r="B156" t="s">
        <v>35</v>
      </c>
      <c r="C156" t="s">
        <v>18</v>
      </c>
      <c r="D156">
        <v>70000</v>
      </c>
      <c r="E156" t="str">
        <f>IF(Sales_Data[[#This Row],[Income]]&lt;=20000,"Low Income",IF(Sales_Data[[#This Row],[Income]]&lt;=40000,"Lower Middle",IF(Sales_Data[[#This Row],[Income]]&lt;=60000,"Middle Income",IF(Sales_Data[[#This Row],[Income]]&lt;=80000,"Upper Middle","High Income"))))</f>
        <v>Upper Middle</v>
      </c>
      <c r="F156">
        <v>2</v>
      </c>
      <c r="G156" t="s">
        <v>19</v>
      </c>
      <c r="H156" t="s">
        <v>46</v>
      </c>
      <c r="I156" t="s">
        <v>32</v>
      </c>
      <c r="J156">
        <v>1</v>
      </c>
      <c r="K156" t="s">
        <v>33</v>
      </c>
      <c r="L156" t="s">
        <v>63</v>
      </c>
      <c r="M156">
        <v>59</v>
      </c>
      <c r="N156" t="s">
        <v>38</v>
      </c>
      <c r="O156" t="s">
        <v>54</v>
      </c>
      <c r="P156" s="2">
        <v>2421.2600000000002</v>
      </c>
      <c r="Q156" t="s">
        <v>58</v>
      </c>
      <c r="R156" s="1">
        <v>45129</v>
      </c>
      <c r="S156" s="1"/>
    </row>
    <row r="157" spans="1:19" x14ac:dyDescent="0.3">
      <c r="A157">
        <v>28228</v>
      </c>
      <c r="B157" t="s">
        <v>35</v>
      </c>
      <c r="C157" t="s">
        <v>18</v>
      </c>
      <c r="D157">
        <v>80000</v>
      </c>
      <c r="E157" t="str">
        <f>IF(Sales_Data[[#This Row],[Income]]&lt;=20000,"Low Income",IF(Sales_Data[[#This Row],[Income]]&lt;=40000,"Lower Middle",IF(Sales_Data[[#This Row],[Income]]&lt;=60000,"Middle Income",IF(Sales_Data[[#This Row],[Income]]&lt;=80000,"Upper Middle","High Income"))))</f>
        <v>Upper Middle</v>
      </c>
      <c r="F157">
        <v>2</v>
      </c>
      <c r="G157" t="s">
        <v>50</v>
      </c>
      <c r="H157" t="s">
        <v>20</v>
      </c>
      <c r="I157" t="s">
        <v>32</v>
      </c>
      <c r="J157">
        <v>2</v>
      </c>
      <c r="K157" t="s">
        <v>43</v>
      </c>
      <c r="L157" t="s">
        <v>63</v>
      </c>
      <c r="M157">
        <v>50</v>
      </c>
      <c r="N157" t="s">
        <v>38</v>
      </c>
      <c r="O157" t="s">
        <v>41</v>
      </c>
      <c r="P157" s="2">
        <v>3401.55</v>
      </c>
      <c r="Q157" t="s">
        <v>48</v>
      </c>
      <c r="R157" s="1">
        <v>45167</v>
      </c>
      <c r="S157" s="1"/>
    </row>
    <row r="158" spans="1:19" x14ac:dyDescent="0.3">
      <c r="A158">
        <v>13382</v>
      </c>
      <c r="B158" t="s">
        <v>17</v>
      </c>
      <c r="C158" t="s">
        <v>17</v>
      </c>
      <c r="D158">
        <v>70000</v>
      </c>
      <c r="E158" t="str">
        <f>IF(Sales_Data[[#This Row],[Income]]&lt;=20000,"Low Income",IF(Sales_Data[[#This Row],[Income]]&lt;=40000,"Lower Middle",IF(Sales_Data[[#This Row],[Income]]&lt;=60000,"Middle Income",IF(Sales_Data[[#This Row],[Income]]&lt;=80000,"Upper Middle","High Income"))))</f>
        <v>Upper Middle</v>
      </c>
      <c r="F158">
        <v>5</v>
      </c>
      <c r="G158" t="s">
        <v>27</v>
      </c>
      <c r="H158" t="s">
        <v>31</v>
      </c>
      <c r="I158" t="s">
        <v>21</v>
      </c>
      <c r="J158">
        <v>2</v>
      </c>
      <c r="K158" t="s">
        <v>43</v>
      </c>
      <c r="L158" t="s">
        <v>63</v>
      </c>
      <c r="M158">
        <v>57</v>
      </c>
      <c r="N158" t="s">
        <v>24</v>
      </c>
      <c r="O158" t="s">
        <v>55</v>
      </c>
      <c r="P158" s="2">
        <v>2070.65</v>
      </c>
      <c r="Q158" t="s">
        <v>57</v>
      </c>
      <c r="R158" s="1">
        <v>45222</v>
      </c>
      <c r="S158" s="1"/>
    </row>
    <row r="159" spans="1:19" x14ac:dyDescent="0.3">
      <c r="A159">
        <v>11255</v>
      </c>
      <c r="B159" t="s">
        <v>17</v>
      </c>
      <c r="C159" t="s">
        <v>17</v>
      </c>
      <c r="D159">
        <v>70000</v>
      </c>
      <c r="E159" t="str">
        <f>IF(Sales_Data[[#This Row],[Income]]&lt;=20000,"Low Income",IF(Sales_Data[[#This Row],[Income]]&lt;=40000,"Lower Middle",IF(Sales_Data[[#This Row],[Income]]&lt;=60000,"Middle Income",IF(Sales_Data[[#This Row],[Income]]&lt;=80000,"Upper Middle","High Income"))))</f>
        <v>Upper Middle</v>
      </c>
      <c r="F159">
        <v>4</v>
      </c>
      <c r="G159" t="s">
        <v>61</v>
      </c>
      <c r="H159" t="s">
        <v>46</v>
      </c>
      <c r="I159" t="s">
        <v>21</v>
      </c>
      <c r="J159">
        <v>2</v>
      </c>
      <c r="K159" t="s">
        <v>36</v>
      </c>
      <c r="L159" t="s">
        <v>63</v>
      </c>
      <c r="M159">
        <v>73</v>
      </c>
      <c r="N159" t="s">
        <v>38</v>
      </c>
      <c r="O159" t="s">
        <v>54</v>
      </c>
      <c r="P159" s="2">
        <v>929.78</v>
      </c>
      <c r="Q159" t="s">
        <v>52</v>
      </c>
      <c r="R159" s="1">
        <v>44972</v>
      </c>
      <c r="S159" s="1"/>
    </row>
    <row r="160" spans="1:19" x14ac:dyDescent="0.3">
      <c r="A160">
        <v>20376</v>
      </c>
      <c r="B160" t="s">
        <v>35</v>
      </c>
      <c r="C160" t="s">
        <v>18</v>
      </c>
      <c r="D160">
        <v>70000</v>
      </c>
      <c r="E160" t="str">
        <f>IF(Sales_Data[[#This Row],[Income]]&lt;=20000,"Low Income",IF(Sales_Data[[#This Row],[Income]]&lt;=40000,"Lower Middle",IF(Sales_Data[[#This Row],[Income]]&lt;=60000,"Middle Income",IF(Sales_Data[[#This Row],[Income]]&lt;=80000,"Upper Middle","High Income"))))</f>
        <v>Upper Middle</v>
      </c>
      <c r="F160">
        <v>3</v>
      </c>
      <c r="G160" t="s">
        <v>61</v>
      </c>
      <c r="H160" t="s">
        <v>46</v>
      </c>
      <c r="I160" t="s">
        <v>21</v>
      </c>
      <c r="J160">
        <v>2</v>
      </c>
      <c r="K160" t="s">
        <v>36</v>
      </c>
      <c r="L160" t="s">
        <v>63</v>
      </c>
      <c r="M160">
        <v>52</v>
      </c>
      <c r="N160" t="s">
        <v>24</v>
      </c>
      <c r="O160" t="s">
        <v>25</v>
      </c>
      <c r="P160" s="2">
        <v>7854.18</v>
      </c>
      <c r="Q160" t="s">
        <v>48</v>
      </c>
      <c r="R160" s="1">
        <v>45146</v>
      </c>
      <c r="S160" s="1"/>
    </row>
    <row r="161" spans="1:19" x14ac:dyDescent="0.3">
      <c r="A161">
        <v>15749</v>
      </c>
      <c r="B161" t="s">
        <v>35</v>
      </c>
      <c r="C161" t="s">
        <v>18</v>
      </c>
      <c r="D161">
        <v>70000</v>
      </c>
      <c r="E161" t="str">
        <f>IF(Sales_Data[[#This Row],[Income]]&lt;=20000,"Low Income",IF(Sales_Data[[#This Row],[Income]]&lt;=40000,"Lower Middle",IF(Sales_Data[[#This Row],[Income]]&lt;=60000,"Middle Income",IF(Sales_Data[[#This Row],[Income]]&lt;=80000,"Upper Middle","High Income"))))</f>
        <v>Upper Middle</v>
      </c>
      <c r="F161">
        <v>4</v>
      </c>
      <c r="G161" t="s">
        <v>19</v>
      </c>
      <c r="H161" t="s">
        <v>46</v>
      </c>
      <c r="I161" t="s">
        <v>21</v>
      </c>
      <c r="J161">
        <v>2</v>
      </c>
      <c r="K161" t="s">
        <v>53</v>
      </c>
      <c r="L161" t="s">
        <v>63</v>
      </c>
      <c r="M161">
        <v>61</v>
      </c>
      <c r="N161" t="s">
        <v>38</v>
      </c>
      <c r="O161" t="s">
        <v>41</v>
      </c>
      <c r="P161" s="2">
        <v>2865.33</v>
      </c>
      <c r="Q161" t="s">
        <v>57</v>
      </c>
      <c r="R161" s="1">
        <v>45207</v>
      </c>
      <c r="S161" s="1"/>
    </row>
    <row r="162" spans="1:19" x14ac:dyDescent="0.3">
      <c r="A162">
        <v>25899</v>
      </c>
      <c r="B162" t="s">
        <v>17</v>
      </c>
      <c r="C162" t="s">
        <v>18</v>
      </c>
      <c r="D162">
        <v>70000</v>
      </c>
      <c r="E162" t="str">
        <f>IF(Sales_Data[[#This Row],[Income]]&lt;=20000,"Low Income",IF(Sales_Data[[#This Row],[Income]]&lt;=40000,"Lower Middle",IF(Sales_Data[[#This Row],[Income]]&lt;=60000,"Middle Income",IF(Sales_Data[[#This Row],[Income]]&lt;=80000,"Upper Middle","High Income"))))</f>
        <v>Upper Middle</v>
      </c>
      <c r="F162">
        <v>2</v>
      </c>
      <c r="G162" t="s">
        <v>45</v>
      </c>
      <c r="H162" t="s">
        <v>31</v>
      </c>
      <c r="I162" t="s">
        <v>21</v>
      </c>
      <c r="J162">
        <v>2</v>
      </c>
      <c r="K162" t="s">
        <v>53</v>
      </c>
      <c r="L162" t="s">
        <v>63</v>
      </c>
      <c r="M162">
        <v>53</v>
      </c>
      <c r="N162" t="s">
        <v>38</v>
      </c>
      <c r="O162" t="s">
        <v>62</v>
      </c>
      <c r="P162" s="2">
        <v>4072.04</v>
      </c>
      <c r="Q162" t="s">
        <v>52</v>
      </c>
      <c r="R162" s="1">
        <v>44967</v>
      </c>
      <c r="S162" s="1"/>
    </row>
    <row r="163" spans="1:19" x14ac:dyDescent="0.3">
      <c r="A163">
        <v>13351</v>
      </c>
      <c r="B163" t="s">
        <v>35</v>
      </c>
      <c r="C163" t="s">
        <v>18</v>
      </c>
      <c r="D163">
        <v>70000</v>
      </c>
      <c r="E163" t="str">
        <f>IF(Sales_Data[[#This Row],[Income]]&lt;=20000,"Low Income",IF(Sales_Data[[#This Row],[Income]]&lt;=40000,"Lower Middle",IF(Sales_Data[[#This Row],[Income]]&lt;=60000,"Middle Income",IF(Sales_Data[[#This Row],[Income]]&lt;=80000,"Upper Middle","High Income"))))</f>
        <v>Upper Middle</v>
      </c>
      <c r="F163">
        <v>4</v>
      </c>
      <c r="G163" t="s">
        <v>19</v>
      </c>
      <c r="H163" t="s">
        <v>46</v>
      </c>
      <c r="I163" t="s">
        <v>21</v>
      </c>
      <c r="J163">
        <v>2</v>
      </c>
      <c r="K163" t="s">
        <v>43</v>
      </c>
      <c r="L163" t="s">
        <v>63</v>
      </c>
      <c r="M163">
        <v>62</v>
      </c>
      <c r="N163" t="s">
        <v>24</v>
      </c>
      <c r="O163" t="s">
        <v>34</v>
      </c>
      <c r="P163" s="2">
        <v>7451.54</v>
      </c>
      <c r="Q163" t="s">
        <v>30</v>
      </c>
      <c r="R163" s="1">
        <v>45011</v>
      </c>
      <c r="S163" s="1"/>
    </row>
    <row r="164" spans="1:19" x14ac:dyDescent="0.3">
      <c r="A164">
        <v>23041</v>
      </c>
      <c r="B164" t="s">
        <v>35</v>
      </c>
      <c r="C164" t="s">
        <v>18</v>
      </c>
      <c r="D164">
        <v>70000</v>
      </c>
      <c r="E164" t="str">
        <f>IF(Sales_Data[[#This Row],[Income]]&lt;=20000,"Low Income",IF(Sales_Data[[#This Row],[Income]]&lt;=40000,"Lower Middle",IF(Sales_Data[[#This Row],[Income]]&lt;=60000,"Middle Income",IF(Sales_Data[[#This Row],[Income]]&lt;=80000,"Upper Middle","High Income"))))</f>
        <v>Upper Middle</v>
      </c>
      <c r="F164">
        <v>4</v>
      </c>
      <c r="G164" t="s">
        <v>45</v>
      </c>
      <c r="H164" t="s">
        <v>31</v>
      </c>
      <c r="I164" t="s">
        <v>21</v>
      </c>
      <c r="J164">
        <v>0</v>
      </c>
      <c r="K164" t="s">
        <v>36</v>
      </c>
      <c r="L164" t="s">
        <v>63</v>
      </c>
      <c r="M164">
        <v>50</v>
      </c>
      <c r="N164" t="s">
        <v>38</v>
      </c>
      <c r="O164" t="s">
        <v>54</v>
      </c>
      <c r="P164" s="2">
        <v>6234.4</v>
      </c>
      <c r="Q164" t="s">
        <v>60</v>
      </c>
      <c r="R164" s="1">
        <v>45235</v>
      </c>
      <c r="S164" s="1"/>
    </row>
    <row r="165" spans="1:19" x14ac:dyDescent="0.3">
      <c r="A165">
        <v>24433</v>
      </c>
      <c r="B165" t="s">
        <v>17</v>
      </c>
      <c r="C165" t="s">
        <v>17</v>
      </c>
      <c r="D165">
        <v>70000</v>
      </c>
      <c r="E165" t="str">
        <f>IF(Sales_Data[[#This Row],[Income]]&lt;=20000,"Low Income",IF(Sales_Data[[#This Row],[Income]]&lt;=40000,"Lower Middle",IF(Sales_Data[[#This Row],[Income]]&lt;=60000,"Middle Income",IF(Sales_Data[[#This Row],[Income]]&lt;=80000,"Upper Middle","High Income"))))</f>
        <v>Upper Middle</v>
      </c>
      <c r="F165">
        <v>3</v>
      </c>
      <c r="G165" t="s">
        <v>45</v>
      </c>
      <c r="H165" t="s">
        <v>31</v>
      </c>
      <c r="I165" t="s">
        <v>32</v>
      </c>
      <c r="J165">
        <v>1</v>
      </c>
      <c r="K165" t="s">
        <v>43</v>
      </c>
      <c r="L165" t="s">
        <v>63</v>
      </c>
      <c r="M165">
        <v>52</v>
      </c>
      <c r="N165" t="s">
        <v>38</v>
      </c>
      <c r="O165" t="s">
        <v>47</v>
      </c>
      <c r="P165" s="2">
        <v>4869.8599999999997</v>
      </c>
      <c r="Q165" t="s">
        <v>56</v>
      </c>
      <c r="R165" s="1">
        <v>45180</v>
      </c>
      <c r="S165" s="1"/>
    </row>
    <row r="166" spans="1:19" x14ac:dyDescent="0.3">
      <c r="A166">
        <v>15501</v>
      </c>
      <c r="B166" t="s">
        <v>17</v>
      </c>
      <c r="C166" t="s">
        <v>17</v>
      </c>
      <c r="D166">
        <v>70000</v>
      </c>
      <c r="E166" t="str">
        <f>IF(Sales_Data[[#This Row],[Income]]&lt;=20000,"Low Income",IF(Sales_Data[[#This Row],[Income]]&lt;=40000,"Lower Middle",IF(Sales_Data[[#This Row],[Income]]&lt;=60000,"Middle Income",IF(Sales_Data[[#This Row],[Income]]&lt;=80000,"Upper Middle","High Income"))))</f>
        <v>Upper Middle</v>
      </c>
      <c r="F166">
        <v>4</v>
      </c>
      <c r="G166" t="s">
        <v>61</v>
      </c>
      <c r="H166" t="s">
        <v>31</v>
      </c>
      <c r="I166" t="s">
        <v>21</v>
      </c>
      <c r="J166">
        <v>0</v>
      </c>
      <c r="K166" t="s">
        <v>33</v>
      </c>
      <c r="L166" t="s">
        <v>63</v>
      </c>
      <c r="M166">
        <v>36</v>
      </c>
      <c r="N166" t="s">
        <v>24</v>
      </c>
      <c r="O166" t="s">
        <v>34</v>
      </c>
      <c r="P166" s="2">
        <v>6089.91</v>
      </c>
      <c r="Q166" t="s">
        <v>57</v>
      </c>
      <c r="R166" s="1">
        <v>45203</v>
      </c>
      <c r="S166" s="1"/>
    </row>
    <row r="167" spans="1:19" x14ac:dyDescent="0.3">
      <c r="A167">
        <v>13911</v>
      </c>
      <c r="B167" t="s">
        <v>35</v>
      </c>
      <c r="C167" t="s">
        <v>18</v>
      </c>
      <c r="D167">
        <v>80000</v>
      </c>
      <c r="E167" t="str">
        <f>IF(Sales_Data[[#This Row],[Income]]&lt;=20000,"Low Income",IF(Sales_Data[[#This Row],[Income]]&lt;=40000,"Lower Middle",IF(Sales_Data[[#This Row],[Income]]&lt;=60000,"Middle Income",IF(Sales_Data[[#This Row],[Income]]&lt;=80000,"Upper Middle","High Income"))))</f>
        <v>Upper Middle</v>
      </c>
      <c r="F167">
        <v>3</v>
      </c>
      <c r="G167" t="s">
        <v>19</v>
      </c>
      <c r="H167" t="s">
        <v>20</v>
      </c>
      <c r="I167" t="s">
        <v>21</v>
      </c>
      <c r="J167">
        <v>2</v>
      </c>
      <c r="K167" t="s">
        <v>33</v>
      </c>
      <c r="L167" t="s">
        <v>63</v>
      </c>
      <c r="M167">
        <v>41</v>
      </c>
      <c r="N167" t="s">
        <v>38</v>
      </c>
      <c r="O167" t="s">
        <v>39</v>
      </c>
      <c r="P167" s="2">
        <v>3111.04</v>
      </c>
      <c r="Q167" t="s">
        <v>40</v>
      </c>
      <c r="R167" s="1">
        <v>45062</v>
      </c>
      <c r="S167" s="1"/>
    </row>
    <row r="168" spans="1:19" x14ac:dyDescent="0.3">
      <c r="A168">
        <v>19163</v>
      </c>
      <c r="B168" t="s">
        <v>17</v>
      </c>
      <c r="C168" t="s">
        <v>18</v>
      </c>
      <c r="D168">
        <v>70000</v>
      </c>
      <c r="E168" t="str">
        <f>IF(Sales_Data[[#This Row],[Income]]&lt;=20000,"Low Income",IF(Sales_Data[[#This Row],[Income]]&lt;=40000,"Lower Middle",IF(Sales_Data[[#This Row],[Income]]&lt;=60000,"Middle Income",IF(Sales_Data[[#This Row],[Income]]&lt;=80000,"Upper Middle","High Income"))))</f>
        <v>Upper Middle</v>
      </c>
      <c r="F168">
        <v>4</v>
      </c>
      <c r="G168" t="s">
        <v>19</v>
      </c>
      <c r="H168" t="s">
        <v>31</v>
      </c>
      <c r="I168" t="s">
        <v>21</v>
      </c>
      <c r="J168">
        <v>2</v>
      </c>
      <c r="K168" t="s">
        <v>22</v>
      </c>
      <c r="L168" t="s">
        <v>63</v>
      </c>
      <c r="M168">
        <v>43</v>
      </c>
      <c r="N168" t="s">
        <v>24</v>
      </c>
      <c r="O168" t="s">
        <v>29</v>
      </c>
      <c r="P168" s="2">
        <v>6118.51</v>
      </c>
      <c r="Q168" t="s">
        <v>56</v>
      </c>
      <c r="R168" s="1">
        <v>45182</v>
      </c>
      <c r="S168" s="1"/>
    </row>
    <row r="169" spans="1:19" x14ac:dyDescent="0.3">
      <c r="A169">
        <v>27540</v>
      </c>
      <c r="B169" t="s">
        <v>35</v>
      </c>
      <c r="C169" t="s">
        <v>18</v>
      </c>
      <c r="D169">
        <v>70000</v>
      </c>
      <c r="E169" t="str">
        <f>IF(Sales_Data[[#This Row],[Income]]&lt;=20000,"Low Income",IF(Sales_Data[[#This Row],[Income]]&lt;=40000,"Lower Middle",IF(Sales_Data[[#This Row],[Income]]&lt;=60000,"Middle Income",IF(Sales_Data[[#This Row],[Income]]&lt;=80000,"Upper Middle","High Income"))))</f>
        <v>Upper Middle</v>
      </c>
      <c r="F169">
        <v>0</v>
      </c>
      <c r="G169" t="s">
        <v>19</v>
      </c>
      <c r="H169" t="s">
        <v>31</v>
      </c>
      <c r="I169" t="s">
        <v>32</v>
      </c>
      <c r="J169">
        <v>1</v>
      </c>
      <c r="K169" t="s">
        <v>22</v>
      </c>
      <c r="L169" t="s">
        <v>63</v>
      </c>
      <c r="M169">
        <v>37</v>
      </c>
      <c r="N169" t="s">
        <v>24</v>
      </c>
      <c r="O169" t="s">
        <v>29</v>
      </c>
      <c r="P169" s="2">
        <v>2966.15</v>
      </c>
      <c r="Q169" t="s">
        <v>52</v>
      </c>
      <c r="R169" s="1">
        <v>44976</v>
      </c>
      <c r="S169" s="1"/>
    </row>
    <row r="170" spans="1:19" x14ac:dyDescent="0.3">
      <c r="A170">
        <v>19889</v>
      </c>
      <c r="B170" t="s">
        <v>35</v>
      </c>
      <c r="C170" t="s">
        <v>18</v>
      </c>
      <c r="D170">
        <v>70000</v>
      </c>
      <c r="E170" t="str">
        <f>IF(Sales_Data[[#This Row],[Income]]&lt;=20000,"Low Income",IF(Sales_Data[[#This Row],[Income]]&lt;=40000,"Lower Middle",IF(Sales_Data[[#This Row],[Income]]&lt;=60000,"Middle Income",IF(Sales_Data[[#This Row],[Income]]&lt;=80000,"Upper Middle","High Income"))))</f>
        <v>Upper Middle</v>
      </c>
      <c r="F170">
        <v>2</v>
      </c>
      <c r="G170" t="s">
        <v>50</v>
      </c>
      <c r="H170" t="s">
        <v>20</v>
      </c>
      <c r="I170" t="s">
        <v>32</v>
      </c>
      <c r="J170">
        <v>2</v>
      </c>
      <c r="K170" t="s">
        <v>33</v>
      </c>
      <c r="L170" t="s">
        <v>63</v>
      </c>
      <c r="M170">
        <v>54</v>
      </c>
      <c r="N170" t="s">
        <v>38</v>
      </c>
      <c r="O170" t="s">
        <v>62</v>
      </c>
      <c r="P170" s="2">
        <v>3166.04</v>
      </c>
      <c r="Q170" t="s">
        <v>44</v>
      </c>
      <c r="R170" s="1">
        <v>44927</v>
      </c>
      <c r="S170" s="1"/>
    </row>
    <row r="171" spans="1:19" x14ac:dyDescent="0.3">
      <c r="A171">
        <v>19143</v>
      </c>
      <c r="B171" t="s">
        <v>35</v>
      </c>
      <c r="C171" t="s">
        <v>18</v>
      </c>
      <c r="D171">
        <v>80000</v>
      </c>
      <c r="E171" t="str">
        <f>IF(Sales_Data[[#This Row],[Income]]&lt;=20000,"Low Income",IF(Sales_Data[[#This Row],[Income]]&lt;=40000,"Lower Middle",IF(Sales_Data[[#This Row],[Income]]&lt;=60000,"Middle Income",IF(Sales_Data[[#This Row],[Income]]&lt;=80000,"Upper Middle","High Income"))))</f>
        <v>Upper Middle</v>
      </c>
      <c r="F171">
        <v>3</v>
      </c>
      <c r="G171" t="s">
        <v>19</v>
      </c>
      <c r="H171" t="s">
        <v>20</v>
      </c>
      <c r="I171" t="s">
        <v>21</v>
      </c>
      <c r="J171">
        <v>2</v>
      </c>
      <c r="K171" t="s">
        <v>33</v>
      </c>
      <c r="L171" t="s">
        <v>63</v>
      </c>
      <c r="M171">
        <v>41</v>
      </c>
      <c r="N171" t="s">
        <v>24</v>
      </c>
      <c r="O171" t="s">
        <v>55</v>
      </c>
      <c r="P171" s="2">
        <v>7345.29</v>
      </c>
      <c r="Q171" t="s">
        <v>56</v>
      </c>
      <c r="R171" s="1">
        <v>45178</v>
      </c>
      <c r="S171" s="1"/>
    </row>
    <row r="172" spans="1:19" x14ac:dyDescent="0.3">
      <c r="A172">
        <v>23882</v>
      </c>
      <c r="B172" t="s">
        <v>35</v>
      </c>
      <c r="C172" t="s">
        <v>18</v>
      </c>
      <c r="D172">
        <v>80000</v>
      </c>
      <c r="E172" t="str">
        <f>IF(Sales_Data[[#This Row],[Income]]&lt;=20000,"Low Income",IF(Sales_Data[[#This Row],[Income]]&lt;=40000,"Lower Middle",IF(Sales_Data[[#This Row],[Income]]&lt;=60000,"Middle Income",IF(Sales_Data[[#This Row],[Income]]&lt;=80000,"Upper Middle","High Income"))))</f>
        <v>Upper Middle</v>
      </c>
      <c r="F172">
        <v>3</v>
      </c>
      <c r="G172" t="s">
        <v>61</v>
      </c>
      <c r="H172" t="s">
        <v>31</v>
      </c>
      <c r="I172" t="s">
        <v>21</v>
      </c>
      <c r="J172">
        <v>0</v>
      </c>
      <c r="K172" t="s">
        <v>22</v>
      </c>
      <c r="L172" t="s">
        <v>63</v>
      </c>
      <c r="M172">
        <v>37</v>
      </c>
      <c r="N172" t="s">
        <v>38</v>
      </c>
      <c r="O172" t="s">
        <v>62</v>
      </c>
      <c r="P172" s="2">
        <v>3926.35</v>
      </c>
      <c r="Q172" t="s">
        <v>30</v>
      </c>
      <c r="R172" s="1">
        <v>45011</v>
      </c>
      <c r="S172" s="1"/>
    </row>
    <row r="173" spans="1:19" x14ac:dyDescent="0.3">
      <c r="A173">
        <v>11233</v>
      </c>
      <c r="B173" t="s">
        <v>17</v>
      </c>
      <c r="C173" t="s">
        <v>17</v>
      </c>
      <c r="D173">
        <v>70000</v>
      </c>
      <c r="E173" t="str">
        <f>IF(Sales_Data[[#This Row],[Income]]&lt;=20000,"Low Income",IF(Sales_Data[[#This Row],[Income]]&lt;=40000,"Lower Middle",IF(Sales_Data[[#This Row],[Income]]&lt;=60000,"Middle Income",IF(Sales_Data[[#This Row],[Income]]&lt;=80000,"Upper Middle","High Income"))))</f>
        <v>Upper Middle</v>
      </c>
      <c r="F173">
        <v>4</v>
      </c>
      <c r="G173" t="s">
        <v>27</v>
      </c>
      <c r="H173" t="s">
        <v>31</v>
      </c>
      <c r="I173" t="s">
        <v>21</v>
      </c>
      <c r="J173">
        <v>2</v>
      </c>
      <c r="K173" t="s">
        <v>53</v>
      </c>
      <c r="L173" t="s">
        <v>63</v>
      </c>
      <c r="M173">
        <v>53</v>
      </c>
      <c r="N173" t="s">
        <v>38</v>
      </c>
      <c r="O173" t="s">
        <v>62</v>
      </c>
      <c r="P173" s="2">
        <v>5818.55</v>
      </c>
      <c r="Q173" t="s">
        <v>40</v>
      </c>
      <c r="R173" s="1">
        <v>45065</v>
      </c>
      <c r="S173" s="1"/>
    </row>
    <row r="174" spans="1:19" x14ac:dyDescent="0.3">
      <c r="A174">
        <v>18423</v>
      </c>
      <c r="B174" t="s">
        <v>35</v>
      </c>
      <c r="C174" t="s">
        <v>17</v>
      </c>
      <c r="D174">
        <v>80000</v>
      </c>
      <c r="E174" t="str">
        <f>IF(Sales_Data[[#This Row],[Income]]&lt;=20000,"Low Income",IF(Sales_Data[[#This Row],[Income]]&lt;=40000,"Lower Middle",IF(Sales_Data[[#This Row],[Income]]&lt;=60000,"Middle Income",IF(Sales_Data[[#This Row],[Income]]&lt;=80000,"Upper Middle","High Income"))))</f>
        <v>Upper Middle</v>
      </c>
      <c r="F174">
        <v>2</v>
      </c>
      <c r="G174" t="s">
        <v>50</v>
      </c>
      <c r="H174" t="s">
        <v>20</v>
      </c>
      <c r="I174" t="s">
        <v>32</v>
      </c>
      <c r="J174">
        <v>2</v>
      </c>
      <c r="K174" t="s">
        <v>43</v>
      </c>
      <c r="L174" t="s">
        <v>63</v>
      </c>
      <c r="M174">
        <v>52</v>
      </c>
      <c r="N174" t="s">
        <v>24</v>
      </c>
      <c r="O174" t="s">
        <v>49</v>
      </c>
      <c r="P174" s="2">
        <v>669.77</v>
      </c>
      <c r="Q174" t="s">
        <v>57</v>
      </c>
      <c r="R174" s="1">
        <v>45220</v>
      </c>
      <c r="S174" s="1"/>
    </row>
    <row r="175" spans="1:19" x14ac:dyDescent="0.3">
      <c r="A175">
        <v>13390</v>
      </c>
      <c r="B175" t="s">
        <v>17</v>
      </c>
      <c r="C175" t="s">
        <v>18</v>
      </c>
      <c r="D175">
        <v>70000</v>
      </c>
      <c r="E175" t="str">
        <f>IF(Sales_Data[[#This Row],[Income]]&lt;=20000,"Low Income",IF(Sales_Data[[#This Row],[Income]]&lt;=40000,"Lower Middle",IF(Sales_Data[[#This Row],[Income]]&lt;=60000,"Middle Income",IF(Sales_Data[[#This Row],[Income]]&lt;=80000,"Upper Middle","High Income"))))</f>
        <v>Upper Middle</v>
      </c>
      <c r="F175">
        <v>4</v>
      </c>
      <c r="G175" t="s">
        <v>27</v>
      </c>
      <c r="H175" t="s">
        <v>31</v>
      </c>
      <c r="I175" t="s">
        <v>32</v>
      </c>
      <c r="J175">
        <v>1</v>
      </c>
      <c r="K175" t="s">
        <v>43</v>
      </c>
      <c r="L175" t="s">
        <v>63</v>
      </c>
      <c r="M175">
        <v>56</v>
      </c>
      <c r="N175" t="s">
        <v>38</v>
      </c>
      <c r="O175" t="s">
        <v>62</v>
      </c>
      <c r="P175" s="2">
        <v>7412.86</v>
      </c>
      <c r="Q175" t="s">
        <v>30</v>
      </c>
      <c r="R175" s="1">
        <v>45016</v>
      </c>
      <c r="S175" s="1"/>
    </row>
    <row r="176" spans="1:19" x14ac:dyDescent="0.3">
      <c r="A176">
        <v>18783</v>
      </c>
      <c r="B176" t="s">
        <v>35</v>
      </c>
      <c r="C176" t="s">
        <v>17</v>
      </c>
      <c r="D176">
        <v>80000</v>
      </c>
      <c r="E176" t="str">
        <f>IF(Sales_Data[[#This Row],[Income]]&lt;=20000,"Low Income",IF(Sales_Data[[#This Row],[Income]]&lt;=40000,"Lower Middle",IF(Sales_Data[[#This Row],[Income]]&lt;=60000,"Middle Income",IF(Sales_Data[[#This Row],[Income]]&lt;=80000,"Upper Middle","High Income"))))</f>
        <v>Upper Middle</v>
      </c>
      <c r="F176">
        <v>0</v>
      </c>
      <c r="G176" t="s">
        <v>19</v>
      </c>
      <c r="H176" t="s">
        <v>46</v>
      </c>
      <c r="I176" t="s">
        <v>32</v>
      </c>
      <c r="J176">
        <v>1</v>
      </c>
      <c r="K176" t="s">
        <v>22</v>
      </c>
      <c r="L176" t="s">
        <v>63</v>
      </c>
      <c r="M176">
        <v>38</v>
      </c>
      <c r="N176" t="s">
        <v>38</v>
      </c>
      <c r="O176" t="s">
        <v>62</v>
      </c>
      <c r="P176" s="2">
        <v>5198.6899999999996</v>
      </c>
      <c r="Q176" t="s">
        <v>59</v>
      </c>
      <c r="R176" s="1">
        <v>45042</v>
      </c>
      <c r="S176" s="1"/>
    </row>
    <row r="177" spans="1:19" x14ac:dyDescent="0.3">
      <c r="A177">
        <v>22046</v>
      </c>
      <c r="B177" t="s">
        <v>35</v>
      </c>
      <c r="C177" t="s">
        <v>18</v>
      </c>
      <c r="D177">
        <v>80000</v>
      </c>
      <c r="E177" t="str">
        <f>IF(Sales_Data[[#This Row],[Income]]&lt;=20000,"Low Income",IF(Sales_Data[[#This Row],[Income]]&lt;=40000,"Lower Middle",IF(Sales_Data[[#This Row],[Income]]&lt;=60000,"Middle Income",IF(Sales_Data[[#This Row],[Income]]&lt;=80000,"Upper Middle","High Income"))))</f>
        <v>Upper Middle</v>
      </c>
      <c r="F177">
        <v>0</v>
      </c>
      <c r="G177" t="s">
        <v>19</v>
      </c>
      <c r="H177" t="s">
        <v>46</v>
      </c>
      <c r="I177" t="s">
        <v>32</v>
      </c>
      <c r="J177">
        <v>1</v>
      </c>
      <c r="K177" t="s">
        <v>22</v>
      </c>
      <c r="L177" t="s">
        <v>63</v>
      </c>
      <c r="M177">
        <v>38</v>
      </c>
      <c r="N177" t="s">
        <v>38</v>
      </c>
      <c r="O177" t="s">
        <v>62</v>
      </c>
      <c r="P177" s="2">
        <v>8168.9</v>
      </c>
      <c r="Q177" t="s">
        <v>58</v>
      </c>
      <c r="R177" s="1">
        <v>45121</v>
      </c>
      <c r="S177" s="1"/>
    </row>
    <row r="178" spans="1:19" x14ac:dyDescent="0.3">
      <c r="A178">
        <v>26693</v>
      </c>
      <c r="B178" t="s">
        <v>17</v>
      </c>
      <c r="C178" t="s">
        <v>17</v>
      </c>
      <c r="D178">
        <v>70000</v>
      </c>
      <c r="E178" t="str">
        <f>IF(Sales_Data[[#This Row],[Income]]&lt;=20000,"Low Income",IF(Sales_Data[[#This Row],[Income]]&lt;=40000,"Lower Middle",IF(Sales_Data[[#This Row],[Income]]&lt;=60000,"Middle Income",IF(Sales_Data[[#This Row],[Income]]&lt;=80000,"Upper Middle","High Income"))))</f>
        <v>Upper Middle</v>
      </c>
      <c r="F178">
        <v>3</v>
      </c>
      <c r="G178" t="s">
        <v>27</v>
      </c>
      <c r="H178" t="s">
        <v>31</v>
      </c>
      <c r="I178" t="s">
        <v>21</v>
      </c>
      <c r="J178">
        <v>1</v>
      </c>
      <c r="K178" t="s">
        <v>36</v>
      </c>
      <c r="L178" t="s">
        <v>63</v>
      </c>
      <c r="M178">
        <v>49</v>
      </c>
      <c r="N178" t="s">
        <v>38</v>
      </c>
      <c r="O178" t="s">
        <v>62</v>
      </c>
      <c r="P178" s="2">
        <v>6177.12</v>
      </c>
      <c r="Q178" t="s">
        <v>44</v>
      </c>
      <c r="R178" s="1">
        <v>44950</v>
      </c>
      <c r="S178" s="1"/>
    </row>
    <row r="179" spans="1:19" x14ac:dyDescent="0.3">
      <c r="A179">
        <v>22118</v>
      </c>
      <c r="B179" t="s">
        <v>35</v>
      </c>
      <c r="C179" t="s">
        <v>18</v>
      </c>
      <c r="D179">
        <v>70000</v>
      </c>
      <c r="E179" t="str">
        <f>IF(Sales_Data[[#This Row],[Income]]&lt;=20000,"Low Income",IF(Sales_Data[[#This Row],[Income]]&lt;=40000,"Lower Middle",IF(Sales_Data[[#This Row],[Income]]&lt;=60000,"Middle Income",IF(Sales_Data[[#This Row],[Income]]&lt;=80000,"Upper Middle","High Income"))))</f>
        <v>Upper Middle</v>
      </c>
      <c r="F179">
        <v>3</v>
      </c>
      <c r="G179" t="s">
        <v>61</v>
      </c>
      <c r="H179" t="s">
        <v>46</v>
      </c>
      <c r="I179" t="s">
        <v>21</v>
      </c>
      <c r="J179">
        <v>2</v>
      </c>
      <c r="K179" t="s">
        <v>36</v>
      </c>
      <c r="L179" t="s">
        <v>63</v>
      </c>
      <c r="M179">
        <v>53</v>
      </c>
      <c r="N179" t="s">
        <v>24</v>
      </c>
      <c r="O179" t="s">
        <v>49</v>
      </c>
      <c r="P179" s="2">
        <v>9254.19</v>
      </c>
      <c r="Q179" t="s">
        <v>60</v>
      </c>
      <c r="R179" s="1">
        <v>45259</v>
      </c>
      <c r="S179" s="1"/>
    </row>
    <row r="180" spans="1:19" x14ac:dyDescent="0.3">
      <c r="A180">
        <v>27279</v>
      </c>
      <c r="B180" t="s">
        <v>35</v>
      </c>
      <c r="C180" t="s">
        <v>18</v>
      </c>
      <c r="D180">
        <v>70000</v>
      </c>
      <c r="E180" t="str">
        <f>IF(Sales_Data[[#This Row],[Income]]&lt;=20000,"Low Income",IF(Sales_Data[[#This Row],[Income]]&lt;=40000,"Lower Middle",IF(Sales_Data[[#This Row],[Income]]&lt;=60000,"Middle Income",IF(Sales_Data[[#This Row],[Income]]&lt;=80000,"Upper Middle","High Income"))))</f>
        <v>Upper Middle</v>
      </c>
      <c r="F180">
        <v>2</v>
      </c>
      <c r="G180" t="s">
        <v>19</v>
      </c>
      <c r="H180" t="s">
        <v>20</v>
      </c>
      <c r="I180" t="s">
        <v>21</v>
      </c>
      <c r="J180">
        <v>0</v>
      </c>
      <c r="K180" t="s">
        <v>33</v>
      </c>
      <c r="L180" t="s">
        <v>63</v>
      </c>
      <c r="M180">
        <v>38</v>
      </c>
      <c r="N180" t="s">
        <v>38</v>
      </c>
      <c r="O180" t="s">
        <v>39</v>
      </c>
      <c r="P180" s="2">
        <v>680.38</v>
      </c>
      <c r="Q180" t="s">
        <v>40</v>
      </c>
      <c r="R180" s="1">
        <v>45054</v>
      </c>
      <c r="S180" s="1"/>
    </row>
    <row r="181" spans="1:19" x14ac:dyDescent="0.3">
      <c r="A181">
        <v>15879</v>
      </c>
      <c r="B181" t="s">
        <v>17</v>
      </c>
      <c r="C181" t="s">
        <v>17</v>
      </c>
      <c r="D181">
        <v>70000</v>
      </c>
      <c r="E181" t="str">
        <f>IF(Sales_Data[[#This Row],[Income]]&lt;=20000,"Low Income",IF(Sales_Data[[#This Row],[Income]]&lt;=40000,"Lower Middle",IF(Sales_Data[[#This Row],[Income]]&lt;=60000,"Middle Income",IF(Sales_Data[[#This Row],[Income]]&lt;=80000,"Upper Middle","High Income"))))</f>
        <v>Upper Middle</v>
      </c>
      <c r="F181">
        <v>5</v>
      </c>
      <c r="G181" t="s">
        <v>19</v>
      </c>
      <c r="H181" t="s">
        <v>46</v>
      </c>
      <c r="I181" t="s">
        <v>21</v>
      </c>
      <c r="J181">
        <v>2</v>
      </c>
      <c r="K181" t="s">
        <v>33</v>
      </c>
      <c r="L181" t="s">
        <v>63</v>
      </c>
      <c r="M181">
        <v>61</v>
      </c>
      <c r="N181" t="s">
        <v>38</v>
      </c>
      <c r="O181" t="s">
        <v>41</v>
      </c>
      <c r="P181" s="2">
        <v>8877.19</v>
      </c>
      <c r="Q181" t="s">
        <v>26</v>
      </c>
      <c r="R181" s="1">
        <v>45268</v>
      </c>
      <c r="S181" s="1"/>
    </row>
    <row r="182" spans="1:19" x14ac:dyDescent="0.3">
      <c r="A182">
        <v>28066</v>
      </c>
      <c r="B182" t="s">
        <v>17</v>
      </c>
      <c r="C182" t="s">
        <v>17</v>
      </c>
      <c r="D182">
        <v>80000</v>
      </c>
      <c r="E182" t="str">
        <f>IF(Sales_Data[[#This Row],[Income]]&lt;=20000,"Low Income",IF(Sales_Data[[#This Row],[Income]]&lt;=40000,"Lower Middle",IF(Sales_Data[[#This Row],[Income]]&lt;=60000,"Middle Income",IF(Sales_Data[[#This Row],[Income]]&lt;=80000,"Upper Middle","High Income"))))</f>
        <v>Upper Middle</v>
      </c>
      <c r="F182">
        <v>2</v>
      </c>
      <c r="G182" t="s">
        <v>61</v>
      </c>
      <c r="H182" t="s">
        <v>31</v>
      </c>
      <c r="I182" t="s">
        <v>21</v>
      </c>
      <c r="J182">
        <v>0</v>
      </c>
      <c r="K182" t="s">
        <v>22</v>
      </c>
      <c r="L182" t="s">
        <v>63</v>
      </c>
      <c r="M182">
        <v>37</v>
      </c>
      <c r="N182" t="s">
        <v>24</v>
      </c>
      <c r="O182" t="s">
        <v>25</v>
      </c>
      <c r="P182" s="2">
        <v>9338.5499999999993</v>
      </c>
      <c r="Q182" t="s">
        <v>58</v>
      </c>
      <c r="R182" s="1">
        <v>45113</v>
      </c>
      <c r="S182" s="1"/>
    </row>
    <row r="183" spans="1:19" x14ac:dyDescent="0.3">
      <c r="A183">
        <v>11275</v>
      </c>
      <c r="B183" t="s">
        <v>17</v>
      </c>
      <c r="C183" t="s">
        <v>18</v>
      </c>
      <c r="D183">
        <v>80000</v>
      </c>
      <c r="E183" t="str">
        <f>IF(Sales_Data[[#This Row],[Income]]&lt;=20000,"Low Income",IF(Sales_Data[[#This Row],[Income]]&lt;=40000,"Lower Middle",IF(Sales_Data[[#This Row],[Income]]&lt;=60000,"Middle Income",IF(Sales_Data[[#This Row],[Income]]&lt;=80000,"Upper Middle","High Income"))))</f>
        <v>Upper Middle</v>
      </c>
      <c r="F183">
        <v>4</v>
      </c>
      <c r="G183" t="s">
        <v>61</v>
      </c>
      <c r="H183" t="s">
        <v>46</v>
      </c>
      <c r="I183" t="s">
        <v>21</v>
      </c>
      <c r="J183">
        <v>2</v>
      </c>
      <c r="K183" t="s">
        <v>22</v>
      </c>
      <c r="L183" t="s">
        <v>63</v>
      </c>
      <c r="M183">
        <v>72</v>
      </c>
      <c r="N183" t="s">
        <v>38</v>
      </c>
      <c r="O183" t="s">
        <v>54</v>
      </c>
      <c r="P183" s="2">
        <v>634.58000000000004</v>
      </c>
      <c r="Q183" t="s">
        <v>60</v>
      </c>
      <c r="R183" s="1">
        <v>45246</v>
      </c>
      <c r="S183" s="1"/>
    </row>
    <row r="184" spans="1:19" x14ac:dyDescent="0.3">
      <c r="A184">
        <v>19731</v>
      </c>
      <c r="B184" t="s">
        <v>17</v>
      </c>
      <c r="C184" t="s">
        <v>17</v>
      </c>
      <c r="D184">
        <v>80000</v>
      </c>
      <c r="E184" t="str">
        <f>IF(Sales_Data[[#This Row],[Income]]&lt;=20000,"Low Income",IF(Sales_Data[[#This Row],[Income]]&lt;=40000,"Lower Middle",IF(Sales_Data[[#This Row],[Income]]&lt;=60000,"Middle Income",IF(Sales_Data[[#This Row],[Income]]&lt;=80000,"Upper Middle","High Income"))))</f>
        <v>Upper Middle</v>
      </c>
      <c r="F184">
        <v>4</v>
      </c>
      <c r="G184" t="s">
        <v>61</v>
      </c>
      <c r="H184" t="s">
        <v>46</v>
      </c>
      <c r="I184" t="s">
        <v>21</v>
      </c>
      <c r="J184">
        <v>2</v>
      </c>
      <c r="K184" t="s">
        <v>36</v>
      </c>
      <c r="L184" t="s">
        <v>63</v>
      </c>
      <c r="M184">
        <v>68</v>
      </c>
      <c r="N184" t="s">
        <v>38</v>
      </c>
      <c r="O184" t="s">
        <v>41</v>
      </c>
      <c r="P184" s="2">
        <v>7228.4</v>
      </c>
      <c r="Q184" t="s">
        <v>52</v>
      </c>
      <c r="R184" s="1">
        <v>44970</v>
      </c>
      <c r="S184" s="1"/>
    </row>
    <row r="185" spans="1:19" x14ac:dyDescent="0.3">
      <c r="A185">
        <v>11807</v>
      </c>
      <c r="B185" t="s">
        <v>17</v>
      </c>
      <c r="C185" t="s">
        <v>17</v>
      </c>
      <c r="D185">
        <v>70000</v>
      </c>
      <c r="E185" t="str">
        <f>IF(Sales_Data[[#This Row],[Income]]&lt;=20000,"Low Income",IF(Sales_Data[[#This Row],[Income]]&lt;=40000,"Lower Middle",IF(Sales_Data[[#This Row],[Income]]&lt;=60000,"Middle Income",IF(Sales_Data[[#This Row],[Income]]&lt;=80000,"Upper Middle","High Income"))))</f>
        <v>Upper Middle</v>
      </c>
      <c r="F185">
        <v>3</v>
      </c>
      <c r="G185" t="s">
        <v>61</v>
      </c>
      <c r="H185" t="s">
        <v>31</v>
      </c>
      <c r="I185" t="s">
        <v>21</v>
      </c>
      <c r="J185">
        <v>0</v>
      </c>
      <c r="K185" t="s">
        <v>33</v>
      </c>
      <c r="L185" t="s">
        <v>63</v>
      </c>
      <c r="M185">
        <v>34</v>
      </c>
      <c r="N185" t="s">
        <v>24</v>
      </c>
      <c r="O185" t="s">
        <v>34</v>
      </c>
      <c r="P185" s="2">
        <v>1514.06</v>
      </c>
      <c r="Q185" t="s">
        <v>52</v>
      </c>
      <c r="R185" s="1">
        <v>44985</v>
      </c>
      <c r="S185" s="1"/>
    </row>
    <row r="186" spans="1:19" x14ac:dyDescent="0.3">
      <c r="A186">
        <v>27074</v>
      </c>
      <c r="B186" t="s">
        <v>17</v>
      </c>
      <c r="C186" t="s">
        <v>18</v>
      </c>
      <c r="D186">
        <v>70000</v>
      </c>
      <c r="E186" t="str">
        <f>IF(Sales_Data[[#This Row],[Income]]&lt;=20000,"Low Income",IF(Sales_Data[[#This Row],[Income]]&lt;=40000,"Lower Middle",IF(Sales_Data[[#This Row],[Income]]&lt;=60000,"Middle Income",IF(Sales_Data[[#This Row],[Income]]&lt;=80000,"Upper Middle","High Income"))))</f>
        <v>Upper Middle</v>
      </c>
      <c r="F186">
        <v>1</v>
      </c>
      <c r="G186" t="s">
        <v>61</v>
      </c>
      <c r="H186" t="s">
        <v>20</v>
      </c>
      <c r="I186" t="s">
        <v>21</v>
      </c>
      <c r="J186">
        <v>0</v>
      </c>
      <c r="K186" t="s">
        <v>22</v>
      </c>
      <c r="L186" t="s">
        <v>63</v>
      </c>
      <c r="M186">
        <v>35</v>
      </c>
      <c r="N186" t="s">
        <v>38</v>
      </c>
      <c r="O186" t="s">
        <v>62</v>
      </c>
      <c r="P186" s="2">
        <v>7993.17</v>
      </c>
      <c r="Q186" t="s">
        <v>60</v>
      </c>
      <c r="R186" s="1">
        <v>45234</v>
      </c>
      <c r="S186" s="1"/>
    </row>
    <row r="187" spans="1:19" x14ac:dyDescent="0.3">
      <c r="A187">
        <v>17000</v>
      </c>
      <c r="B187" t="s">
        <v>35</v>
      </c>
      <c r="C187" t="s">
        <v>18</v>
      </c>
      <c r="D187">
        <v>70000</v>
      </c>
      <c r="E187" t="str">
        <f>IF(Sales_Data[[#This Row],[Income]]&lt;=20000,"Low Income",IF(Sales_Data[[#This Row],[Income]]&lt;=40000,"Lower Middle",IF(Sales_Data[[#This Row],[Income]]&lt;=60000,"Middle Income",IF(Sales_Data[[#This Row],[Income]]&lt;=80000,"Upper Middle","High Income"))))</f>
        <v>Upper Middle</v>
      </c>
      <c r="F187">
        <v>4</v>
      </c>
      <c r="G187" t="s">
        <v>19</v>
      </c>
      <c r="H187" t="s">
        <v>20</v>
      </c>
      <c r="I187" t="s">
        <v>21</v>
      </c>
      <c r="J187">
        <v>2</v>
      </c>
      <c r="K187" t="s">
        <v>33</v>
      </c>
      <c r="L187" t="s">
        <v>63</v>
      </c>
      <c r="M187">
        <v>43</v>
      </c>
      <c r="N187" t="s">
        <v>24</v>
      </c>
      <c r="O187" t="s">
        <v>29</v>
      </c>
      <c r="P187" s="2">
        <v>4074.85</v>
      </c>
      <c r="Q187" t="s">
        <v>52</v>
      </c>
      <c r="R187" s="1">
        <v>44970</v>
      </c>
      <c r="S187" s="1"/>
    </row>
    <row r="188" spans="1:19" x14ac:dyDescent="0.3">
      <c r="A188">
        <v>13873</v>
      </c>
      <c r="B188" t="s">
        <v>17</v>
      </c>
      <c r="C188" t="s">
        <v>17</v>
      </c>
      <c r="D188">
        <v>70000</v>
      </c>
      <c r="E188" t="str">
        <f>IF(Sales_Data[[#This Row],[Income]]&lt;=20000,"Low Income",IF(Sales_Data[[#This Row],[Income]]&lt;=40000,"Lower Middle",IF(Sales_Data[[#This Row],[Income]]&lt;=60000,"Middle Income",IF(Sales_Data[[#This Row],[Income]]&lt;=80000,"Upper Middle","High Income"))))</f>
        <v>Upper Middle</v>
      </c>
      <c r="F188">
        <v>3</v>
      </c>
      <c r="G188" t="s">
        <v>61</v>
      </c>
      <c r="H188" t="s">
        <v>31</v>
      </c>
      <c r="I188" t="s">
        <v>21</v>
      </c>
      <c r="J188">
        <v>0</v>
      </c>
      <c r="K188" t="s">
        <v>22</v>
      </c>
      <c r="L188" t="s">
        <v>63</v>
      </c>
      <c r="M188">
        <v>35</v>
      </c>
      <c r="N188" t="s">
        <v>38</v>
      </c>
      <c r="O188" t="s">
        <v>41</v>
      </c>
      <c r="P188" s="2">
        <v>4089.09</v>
      </c>
      <c r="Q188" t="s">
        <v>44</v>
      </c>
      <c r="R188" s="1">
        <v>44941</v>
      </c>
      <c r="S188" s="1"/>
    </row>
    <row r="189" spans="1:19" x14ac:dyDescent="0.3">
      <c r="A189">
        <v>18066</v>
      </c>
      <c r="B189" t="s">
        <v>35</v>
      </c>
      <c r="C189" t="s">
        <v>17</v>
      </c>
      <c r="D189">
        <v>70000</v>
      </c>
      <c r="E189" t="str">
        <f>IF(Sales_Data[[#This Row],[Income]]&lt;=20000,"Low Income",IF(Sales_Data[[#This Row],[Income]]&lt;=40000,"Lower Middle",IF(Sales_Data[[#This Row],[Income]]&lt;=60000,"Middle Income",IF(Sales_Data[[#This Row],[Income]]&lt;=80000,"Upper Middle","High Income"))))</f>
        <v>Upper Middle</v>
      </c>
      <c r="F189">
        <v>5</v>
      </c>
      <c r="G189" t="s">
        <v>19</v>
      </c>
      <c r="H189" t="s">
        <v>46</v>
      </c>
      <c r="I189" t="s">
        <v>21</v>
      </c>
      <c r="J189">
        <v>3</v>
      </c>
      <c r="K189" t="s">
        <v>53</v>
      </c>
      <c r="L189" t="s">
        <v>63</v>
      </c>
      <c r="M189">
        <v>60</v>
      </c>
      <c r="N189" t="s">
        <v>38</v>
      </c>
      <c r="O189" t="s">
        <v>41</v>
      </c>
      <c r="P189" s="2">
        <v>7290.47</v>
      </c>
      <c r="Q189" t="s">
        <v>40</v>
      </c>
      <c r="R189" s="1">
        <v>45057</v>
      </c>
      <c r="S189" s="1"/>
    </row>
    <row r="190" spans="1:19" x14ac:dyDescent="0.3">
      <c r="A190">
        <v>28192</v>
      </c>
      <c r="B190" t="s">
        <v>17</v>
      </c>
      <c r="C190" t="s">
        <v>18</v>
      </c>
      <c r="D190">
        <v>70000</v>
      </c>
      <c r="E190" t="str">
        <f>IF(Sales_Data[[#This Row],[Income]]&lt;=20000,"Low Income",IF(Sales_Data[[#This Row],[Income]]&lt;=40000,"Lower Middle",IF(Sales_Data[[#This Row],[Income]]&lt;=60000,"Middle Income",IF(Sales_Data[[#This Row],[Income]]&lt;=80000,"Upper Middle","High Income"))))</f>
        <v>Upper Middle</v>
      </c>
      <c r="F190">
        <v>5</v>
      </c>
      <c r="G190" t="s">
        <v>61</v>
      </c>
      <c r="H190" t="s">
        <v>31</v>
      </c>
      <c r="I190" t="s">
        <v>21</v>
      </c>
      <c r="J190">
        <v>3</v>
      </c>
      <c r="K190" t="s">
        <v>53</v>
      </c>
      <c r="L190" t="s">
        <v>63</v>
      </c>
      <c r="M190">
        <v>46</v>
      </c>
      <c r="N190" t="s">
        <v>24</v>
      </c>
      <c r="O190" t="s">
        <v>25</v>
      </c>
      <c r="P190" s="2">
        <v>7887.42</v>
      </c>
      <c r="Q190" t="s">
        <v>57</v>
      </c>
      <c r="R190" s="1">
        <v>45218</v>
      </c>
      <c r="S190" s="1"/>
    </row>
    <row r="191" spans="1:19" x14ac:dyDescent="0.3">
      <c r="A191">
        <v>28858</v>
      </c>
      <c r="B191" t="s">
        <v>35</v>
      </c>
      <c r="C191" t="s">
        <v>17</v>
      </c>
      <c r="D191">
        <v>80000</v>
      </c>
      <c r="E191" t="str">
        <f>IF(Sales_Data[[#This Row],[Income]]&lt;=20000,"Low Income",IF(Sales_Data[[#This Row],[Income]]&lt;=40000,"Lower Middle",IF(Sales_Data[[#This Row],[Income]]&lt;=60000,"Middle Income",IF(Sales_Data[[#This Row],[Income]]&lt;=80000,"Upper Middle","High Income"))))</f>
        <v>Upper Middle</v>
      </c>
      <c r="F191">
        <v>3</v>
      </c>
      <c r="G191" t="s">
        <v>19</v>
      </c>
      <c r="H191" t="s">
        <v>20</v>
      </c>
      <c r="I191" t="s">
        <v>21</v>
      </c>
      <c r="J191">
        <v>0</v>
      </c>
      <c r="K191" t="s">
        <v>33</v>
      </c>
      <c r="L191" t="s">
        <v>63</v>
      </c>
      <c r="M191">
        <v>40</v>
      </c>
      <c r="N191" t="s">
        <v>38</v>
      </c>
      <c r="O191" t="s">
        <v>41</v>
      </c>
      <c r="P191" s="2">
        <v>7854.53</v>
      </c>
      <c r="Q191" t="s">
        <v>30</v>
      </c>
      <c r="R191" s="1">
        <v>45000</v>
      </c>
      <c r="S191" s="1"/>
    </row>
    <row r="192" spans="1:19" x14ac:dyDescent="0.3">
      <c r="A192">
        <v>13337</v>
      </c>
      <c r="B192" t="s">
        <v>17</v>
      </c>
      <c r="C192" t="s">
        <v>18</v>
      </c>
      <c r="D192">
        <v>80000</v>
      </c>
      <c r="E192" t="str">
        <f>IF(Sales_Data[[#This Row],[Income]]&lt;=20000,"Low Income",IF(Sales_Data[[#This Row],[Income]]&lt;=40000,"Lower Middle",IF(Sales_Data[[#This Row],[Income]]&lt;=60000,"Middle Income",IF(Sales_Data[[#This Row],[Income]]&lt;=80000,"Upper Middle","High Income"))))</f>
        <v>Upper Middle</v>
      </c>
      <c r="F192">
        <v>5</v>
      </c>
      <c r="G192" t="s">
        <v>19</v>
      </c>
      <c r="H192" t="s">
        <v>46</v>
      </c>
      <c r="I192" t="s">
        <v>21</v>
      </c>
      <c r="J192">
        <v>2</v>
      </c>
      <c r="K192" t="s">
        <v>36</v>
      </c>
      <c r="L192" t="s">
        <v>63</v>
      </c>
      <c r="M192">
        <v>64</v>
      </c>
      <c r="N192" t="s">
        <v>38</v>
      </c>
      <c r="O192" t="s">
        <v>54</v>
      </c>
      <c r="P192" s="2">
        <v>9571.7999999999993</v>
      </c>
      <c r="Q192" t="s">
        <v>59</v>
      </c>
      <c r="R192" s="1">
        <v>45025</v>
      </c>
      <c r="S192" s="1"/>
    </row>
    <row r="193" spans="1:19" x14ac:dyDescent="0.3">
      <c r="A193">
        <v>21713</v>
      </c>
      <c r="B193" t="s">
        <v>35</v>
      </c>
      <c r="C193" t="s">
        <v>17</v>
      </c>
      <c r="D193">
        <v>80000</v>
      </c>
      <c r="E193" t="str">
        <f>IF(Sales_Data[[#This Row],[Income]]&lt;=20000,"Low Income",IF(Sales_Data[[#This Row],[Income]]&lt;=40000,"Lower Middle",IF(Sales_Data[[#This Row],[Income]]&lt;=60000,"Middle Income",IF(Sales_Data[[#This Row],[Income]]&lt;=80000,"Upper Middle","High Income"))))</f>
        <v>Upper Middle</v>
      </c>
      <c r="F193">
        <v>5</v>
      </c>
      <c r="G193" t="s">
        <v>61</v>
      </c>
      <c r="H193" t="s">
        <v>20</v>
      </c>
      <c r="I193" t="s">
        <v>32</v>
      </c>
      <c r="J193">
        <v>0</v>
      </c>
      <c r="K193" t="s">
        <v>22</v>
      </c>
      <c r="L193" t="s">
        <v>63</v>
      </c>
      <c r="M193">
        <v>47</v>
      </c>
      <c r="N193" t="s">
        <v>24</v>
      </c>
      <c r="O193" t="s">
        <v>34</v>
      </c>
      <c r="P193" s="2">
        <v>9264.6</v>
      </c>
      <c r="Q193" t="s">
        <v>58</v>
      </c>
      <c r="R193" s="1">
        <v>45108</v>
      </c>
      <c r="S193" s="1"/>
    </row>
    <row r="194" spans="1:19" x14ac:dyDescent="0.3">
      <c r="A194">
        <v>27273</v>
      </c>
      <c r="B194" t="s">
        <v>35</v>
      </c>
      <c r="C194" t="s">
        <v>17</v>
      </c>
      <c r="D194">
        <v>70000</v>
      </c>
      <c r="E194" t="str">
        <f>IF(Sales_Data[[#This Row],[Income]]&lt;=20000,"Low Income",IF(Sales_Data[[#This Row],[Income]]&lt;=40000,"Lower Middle",IF(Sales_Data[[#This Row],[Income]]&lt;=60000,"Middle Income",IF(Sales_Data[[#This Row],[Income]]&lt;=80000,"Upper Middle","High Income"))))</f>
        <v>Upper Middle</v>
      </c>
      <c r="F194">
        <v>3</v>
      </c>
      <c r="G194" t="s">
        <v>61</v>
      </c>
      <c r="H194" t="s">
        <v>31</v>
      </c>
      <c r="I194" t="s">
        <v>32</v>
      </c>
      <c r="J194">
        <v>0</v>
      </c>
      <c r="K194" t="s">
        <v>22</v>
      </c>
      <c r="L194" t="s">
        <v>63</v>
      </c>
      <c r="M194">
        <v>35</v>
      </c>
      <c r="N194" t="s">
        <v>24</v>
      </c>
      <c r="O194" t="s">
        <v>34</v>
      </c>
      <c r="P194" s="2">
        <v>9817.34</v>
      </c>
      <c r="Q194" t="s">
        <v>59</v>
      </c>
      <c r="R194" s="1">
        <v>45038</v>
      </c>
      <c r="S194" s="1"/>
    </row>
    <row r="195" spans="1:19" x14ac:dyDescent="0.3">
      <c r="A195">
        <v>22042</v>
      </c>
      <c r="B195" t="s">
        <v>17</v>
      </c>
      <c r="C195" t="s">
        <v>18</v>
      </c>
      <c r="D195">
        <v>70000</v>
      </c>
      <c r="E195" t="str">
        <f>IF(Sales_Data[[#This Row],[Income]]&lt;=20000,"Low Income",IF(Sales_Data[[#This Row],[Income]]&lt;=40000,"Lower Middle",IF(Sales_Data[[#This Row],[Income]]&lt;=60000,"Middle Income",IF(Sales_Data[[#This Row],[Income]]&lt;=80000,"Upper Middle","High Income"))))</f>
        <v>Upper Middle</v>
      </c>
      <c r="F195">
        <v>0</v>
      </c>
      <c r="G195" t="s">
        <v>27</v>
      </c>
      <c r="H195" t="s">
        <v>20</v>
      </c>
      <c r="I195" t="s">
        <v>21</v>
      </c>
      <c r="J195">
        <v>2</v>
      </c>
      <c r="K195" t="s">
        <v>36</v>
      </c>
      <c r="L195" t="s">
        <v>63</v>
      </c>
      <c r="M195">
        <v>34</v>
      </c>
      <c r="N195" t="s">
        <v>24</v>
      </c>
      <c r="O195" t="s">
        <v>25</v>
      </c>
      <c r="P195" s="2">
        <v>9241.73</v>
      </c>
      <c r="Q195" t="s">
        <v>57</v>
      </c>
      <c r="R195" s="1">
        <v>45224</v>
      </c>
      <c r="S195" s="1"/>
    </row>
    <row r="196" spans="1:19" x14ac:dyDescent="0.3">
      <c r="A196">
        <v>12153</v>
      </c>
      <c r="B196" t="s">
        <v>35</v>
      </c>
      <c r="C196" t="s">
        <v>18</v>
      </c>
      <c r="D196">
        <v>70000</v>
      </c>
      <c r="E196" t="str">
        <f>IF(Sales_Data[[#This Row],[Income]]&lt;=20000,"Low Income",IF(Sales_Data[[#This Row],[Income]]&lt;=40000,"Lower Middle",IF(Sales_Data[[#This Row],[Income]]&lt;=60000,"Middle Income",IF(Sales_Data[[#This Row],[Income]]&lt;=80000,"Upper Middle","High Income"))))</f>
        <v>Upper Middle</v>
      </c>
      <c r="F196">
        <v>3</v>
      </c>
      <c r="G196" t="s">
        <v>27</v>
      </c>
      <c r="H196" t="s">
        <v>31</v>
      </c>
      <c r="I196" t="s">
        <v>21</v>
      </c>
      <c r="J196">
        <v>1</v>
      </c>
      <c r="K196" t="s">
        <v>36</v>
      </c>
      <c r="L196" t="s">
        <v>63</v>
      </c>
      <c r="M196">
        <v>49</v>
      </c>
      <c r="N196" t="s">
        <v>38</v>
      </c>
      <c r="O196" t="s">
        <v>41</v>
      </c>
      <c r="P196" s="2">
        <v>210.79</v>
      </c>
      <c r="Q196" t="s">
        <v>30</v>
      </c>
      <c r="R196" s="1">
        <v>45009</v>
      </c>
      <c r="S196" s="1"/>
    </row>
    <row r="197" spans="1:19" x14ac:dyDescent="0.3">
      <c r="A197">
        <v>26728</v>
      </c>
      <c r="B197" t="s">
        <v>35</v>
      </c>
      <c r="C197" t="s">
        <v>17</v>
      </c>
      <c r="D197">
        <v>70000</v>
      </c>
      <c r="E197" t="str">
        <f>IF(Sales_Data[[#This Row],[Income]]&lt;=20000,"Low Income",IF(Sales_Data[[#This Row],[Income]]&lt;=40000,"Lower Middle",IF(Sales_Data[[#This Row],[Income]]&lt;=60000,"Middle Income",IF(Sales_Data[[#This Row],[Income]]&lt;=80000,"Upper Middle","High Income"))))</f>
        <v>Upper Middle</v>
      </c>
      <c r="F197">
        <v>3</v>
      </c>
      <c r="G197" t="s">
        <v>61</v>
      </c>
      <c r="H197" t="s">
        <v>46</v>
      </c>
      <c r="I197" t="s">
        <v>32</v>
      </c>
      <c r="J197">
        <v>2</v>
      </c>
      <c r="K197" t="s">
        <v>43</v>
      </c>
      <c r="L197" t="s">
        <v>63</v>
      </c>
      <c r="M197">
        <v>53</v>
      </c>
      <c r="N197" t="s">
        <v>24</v>
      </c>
      <c r="O197" t="s">
        <v>55</v>
      </c>
      <c r="P197" s="2">
        <v>2050.14</v>
      </c>
      <c r="Q197" t="s">
        <v>40</v>
      </c>
      <c r="R197" s="1">
        <v>45077</v>
      </c>
      <c r="S197" s="1"/>
    </row>
    <row r="198" spans="1:19" x14ac:dyDescent="0.3">
      <c r="A198">
        <v>11823</v>
      </c>
      <c r="B198" t="s">
        <v>17</v>
      </c>
      <c r="C198" t="s">
        <v>18</v>
      </c>
      <c r="D198">
        <v>70000</v>
      </c>
      <c r="E198" t="str">
        <f>IF(Sales_Data[[#This Row],[Income]]&lt;=20000,"Low Income",IF(Sales_Data[[#This Row],[Income]]&lt;=40000,"Lower Middle",IF(Sales_Data[[#This Row],[Income]]&lt;=60000,"Middle Income",IF(Sales_Data[[#This Row],[Income]]&lt;=80000,"Upper Middle","High Income"))))</f>
        <v>Upper Middle</v>
      </c>
      <c r="F198">
        <v>0</v>
      </c>
      <c r="G198" t="s">
        <v>61</v>
      </c>
      <c r="H198" t="s">
        <v>31</v>
      </c>
      <c r="I198" t="s">
        <v>21</v>
      </c>
      <c r="J198">
        <v>0</v>
      </c>
      <c r="K198" t="s">
        <v>33</v>
      </c>
      <c r="L198" t="s">
        <v>63</v>
      </c>
      <c r="M198">
        <v>39</v>
      </c>
      <c r="N198" t="s">
        <v>38</v>
      </c>
      <c r="O198" t="s">
        <v>54</v>
      </c>
      <c r="P198" s="2">
        <v>7488.74</v>
      </c>
      <c r="Q198" t="s">
        <v>51</v>
      </c>
      <c r="R198" s="1">
        <v>45107</v>
      </c>
      <c r="S198" s="1"/>
    </row>
    <row r="199" spans="1:19" x14ac:dyDescent="0.3">
      <c r="A199">
        <v>19543</v>
      </c>
      <c r="B199" t="s">
        <v>17</v>
      </c>
      <c r="C199" t="s">
        <v>17</v>
      </c>
      <c r="D199">
        <v>70000</v>
      </c>
      <c r="E199" t="str">
        <f>IF(Sales_Data[[#This Row],[Income]]&lt;=20000,"Low Income",IF(Sales_Data[[#This Row],[Income]]&lt;=40000,"Lower Middle",IF(Sales_Data[[#This Row],[Income]]&lt;=60000,"Middle Income",IF(Sales_Data[[#This Row],[Income]]&lt;=80000,"Upper Middle","High Income"))))</f>
        <v>Upper Middle</v>
      </c>
      <c r="F199">
        <v>5</v>
      </c>
      <c r="G199" t="s">
        <v>61</v>
      </c>
      <c r="H199" t="s">
        <v>31</v>
      </c>
      <c r="I199" t="s">
        <v>32</v>
      </c>
      <c r="J199">
        <v>3</v>
      </c>
      <c r="K199" t="s">
        <v>53</v>
      </c>
      <c r="L199" t="s">
        <v>63</v>
      </c>
      <c r="M199">
        <v>47</v>
      </c>
      <c r="N199" t="s">
        <v>24</v>
      </c>
      <c r="O199" t="s">
        <v>49</v>
      </c>
      <c r="P199" s="2">
        <v>6237.88</v>
      </c>
      <c r="Q199" t="s">
        <v>48</v>
      </c>
      <c r="R199" s="1">
        <v>45150</v>
      </c>
      <c r="S199" s="1"/>
    </row>
    <row r="200" spans="1:19" x14ac:dyDescent="0.3">
      <c r="A200">
        <v>11663</v>
      </c>
      <c r="B200" t="s">
        <v>17</v>
      </c>
      <c r="C200" t="s">
        <v>17</v>
      </c>
      <c r="D200">
        <v>70000</v>
      </c>
      <c r="E200" t="str">
        <f>IF(Sales_Data[[#This Row],[Income]]&lt;=20000,"Low Income",IF(Sales_Data[[#This Row],[Income]]&lt;=40000,"Lower Middle",IF(Sales_Data[[#This Row],[Income]]&lt;=60000,"Middle Income",IF(Sales_Data[[#This Row],[Income]]&lt;=80000,"Upper Middle","High Income"))))</f>
        <v>Upper Middle</v>
      </c>
      <c r="F200">
        <v>4</v>
      </c>
      <c r="G200" t="s">
        <v>61</v>
      </c>
      <c r="H200" t="s">
        <v>31</v>
      </c>
      <c r="I200" t="s">
        <v>21</v>
      </c>
      <c r="J200">
        <v>0</v>
      </c>
      <c r="K200" t="s">
        <v>22</v>
      </c>
      <c r="L200" t="s">
        <v>63</v>
      </c>
      <c r="M200">
        <v>36</v>
      </c>
      <c r="N200" t="s">
        <v>24</v>
      </c>
      <c r="O200" t="s">
        <v>25</v>
      </c>
      <c r="P200" s="2">
        <v>8752.74</v>
      </c>
      <c r="Q200" t="s">
        <v>40</v>
      </c>
      <c r="R200" s="1">
        <v>45048</v>
      </c>
      <c r="S200" s="1"/>
    </row>
    <row r="201" spans="1:19" x14ac:dyDescent="0.3">
      <c r="A201">
        <v>23455</v>
      </c>
      <c r="B201" t="s">
        <v>35</v>
      </c>
      <c r="C201" t="s">
        <v>17</v>
      </c>
      <c r="D201">
        <v>80000</v>
      </c>
      <c r="E201" t="str">
        <f>IF(Sales_Data[[#This Row],[Income]]&lt;=20000,"Low Income",IF(Sales_Data[[#This Row],[Income]]&lt;=40000,"Lower Middle",IF(Sales_Data[[#This Row],[Income]]&lt;=60000,"Middle Income",IF(Sales_Data[[#This Row],[Income]]&lt;=80000,"Upper Middle","High Income"))))</f>
        <v>Upper Middle</v>
      </c>
      <c r="F201">
        <v>2</v>
      </c>
      <c r="G201" t="s">
        <v>50</v>
      </c>
      <c r="H201" t="s">
        <v>20</v>
      </c>
      <c r="I201" t="s">
        <v>32</v>
      </c>
      <c r="J201">
        <v>2</v>
      </c>
      <c r="K201" t="s">
        <v>43</v>
      </c>
      <c r="L201" t="s">
        <v>63</v>
      </c>
      <c r="M201">
        <v>50</v>
      </c>
      <c r="N201" t="s">
        <v>38</v>
      </c>
      <c r="O201" t="s">
        <v>62</v>
      </c>
      <c r="P201" s="2">
        <v>3826.37</v>
      </c>
      <c r="Q201" t="s">
        <v>56</v>
      </c>
      <c r="R201" s="1">
        <v>45181</v>
      </c>
      <c r="S201" s="1"/>
    </row>
    <row r="202" spans="1:19" x14ac:dyDescent="0.3">
      <c r="A202">
        <v>28056</v>
      </c>
      <c r="B202" t="s">
        <v>17</v>
      </c>
      <c r="C202" t="s">
        <v>17</v>
      </c>
      <c r="D202">
        <v>70000</v>
      </c>
      <c r="E202" t="str">
        <f>IF(Sales_Data[[#This Row],[Income]]&lt;=20000,"Low Income",IF(Sales_Data[[#This Row],[Income]]&lt;=40000,"Lower Middle",IF(Sales_Data[[#This Row],[Income]]&lt;=60000,"Middle Income",IF(Sales_Data[[#This Row],[Income]]&lt;=80000,"Upper Middle","High Income"))))</f>
        <v>Upper Middle</v>
      </c>
      <c r="F202">
        <v>2</v>
      </c>
      <c r="G202" t="s">
        <v>50</v>
      </c>
      <c r="H202" t="s">
        <v>20</v>
      </c>
      <c r="I202" t="s">
        <v>21</v>
      </c>
      <c r="J202">
        <v>2</v>
      </c>
      <c r="K202" t="s">
        <v>53</v>
      </c>
      <c r="L202" t="s">
        <v>63</v>
      </c>
      <c r="M202">
        <v>53</v>
      </c>
      <c r="N202" t="s">
        <v>24</v>
      </c>
      <c r="O202" t="s">
        <v>49</v>
      </c>
      <c r="P202" s="2">
        <v>1874.54</v>
      </c>
      <c r="Q202" t="s">
        <v>30</v>
      </c>
      <c r="R202" s="1">
        <v>44987</v>
      </c>
      <c r="S202" s="1"/>
    </row>
    <row r="203" spans="1:19" x14ac:dyDescent="0.3">
      <c r="A203">
        <v>11788</v>
      </c>
      <c r="B203" t="s">
        <v>35</v>
      </c>
      <c r="C203" t="s">
        <v>18</v>
      </c>
      <c r="D203">
        <v>70000</v>
      </c>
      <c r="E203" t="str">
        <f>IF(Sales_Data[[#This Row],[Income]]&lt;=20000,"Low Income",IF(Sales_Data[[#This Row],[Income]]&lt;=40000,"Lower Middle",IF(Sales_Data[[#This Row],[Income]]&lt;=60000,"Middle Income",IF(Sales_Data[[#This Row],[Income]]&lt;=80000,"Upper Middle","High Income"))))</f>
        <v>Upper Middle</v>
      </c>
      <c r="F203">
        <v>1</v>
      </c>
      <c r="G203" t="s">
        <v>61</v>
      </c>
      <c r="H203" t="s">
        <v>31</v>
      </c>
      <c r="I203" t="s">
        <v>21</v>
      </c>
      <c r="J203">
        <v>0</v>
      </c>
      <c r="K203" t="s">
        <v>33</v>
      </c>
      <c r="L203" t="s">
        <v>63</v>
      </c>
      <c r="M203">
        <v>34</v>
      </c>
      <c r="N203" t="s">
        <v>38</v>
      </c>
      <c r="O203" t="s">
        <v>47</v>
      </c>
      <c r="P203" s="2">
        <v>2156.9699999999998</v>
      </c>
      <c r="Q203" t="s">
        <v>26</v>
      </c>
      <c r="R203" s="1">
        <v>45270</v>
      </c>
      <c r="S203" s="1"/>
    </row>
    <row r="204" spans="1:19" x14ac:dyDescent="0.3">
      <c r="A204">
        <v>22296</v>
      </c>
      <c r="B204" t="s">
        <v>17</v>
      </c>
      <c r="C204" t="s">
        <v>17</v>
      </c>
      <c r="D204">
        <v>70000</v>
      </c>
      <c r="E204" t="str">
        <f>IF(Sales_Data[[#This Row],[Income]]&lt;=20000,"Low Income",IF(Sales_Data[[#This Row],[Income]]&lt;=40000,"Lower Middle",IF(Sales_Data[[#This Row],[Income]]&lt;=60000,"Middle Income",IF(Sales_Data[[#This Row],[Income]]&lt;=80000,"Upper Middle","High Income"))))</f>
        <v>Upper Middle</v>
      </c>
      <c r="F204">
        <v>0</v>
      </c>
      <c r="G204" t="s">
        <v>19</v>
      </c>
      <c r="H204" t="s">
        <v>31</v>
      </c>
      <c r="I204" t="s">
        <v>32</v>
      </c>
      <c r="J204">
        <v>1</v>
      </c>
      <c r="K204" t="s">
        <v>22</v>
      </c>
      <c r="L204" t="s">
        <v>63</v>
      </c>
      <c r="M204">
        <v>38</v>
      </c>
      <c r="N204" t="s">
        <v>24</v>
      </c>
      <c r="O204" t="s">
        <v>55</v>
      </c>
      <c r="P204" s="2">
        <v>9910.17</v>
      </c>
      <c r="Q204" t="s">
        <v>60</v>
      </c>
      <c r="R204" s="1">
        <v>45236</v>
      </c>
      <c r="S204" s="1"/>
    </row>
    <row r="205" spans="1:19" x14ac:dyDescent="0.3">
      <c r="A205">
        <v>15319</v>
      </c>
      <c r="B205" t="s">
        <v>17</v>
      </c>
      <c r="C205" t="s">
        <v>18</v>
      </c>
      <c r="D205">
        <v>70000</v>
      </c>
      <c r="E205" t="str">
        <f>IF(Sales_Data[[#This Row],[Income]]&lt;=20000,"Low Income",IF(Sales_Data[[#This Row],[Income]]&lt;=40000,"Lower Middle",IF(Sales_Data[[#This Row],[Income]]&lt;=60000,"Middle Income",IF(Sales_Data[[#This Row],[Income]]&lt;=80000,"Upper Middle","High Income"))))</f>
        <v>Upper Middle</v>
      </c>
      <c r="F205">
        <v>4</v>
      </c>
      <c r="G205" t="s">
        <v>19</v>
      </c>
      <c r="H205" t="s">
        <v>46</v>
      </c>
      <c r="I205" t="s">
        <v>32</v>
      </c>
      <c r="J205">
        <v>1</v>
      </c>
      <c r="K205" t="s">
        <v>43</v>
      </c>
      <c r="L205" t="s">
        <v>63</v>
      </c>
      <c r="M205">
        <v>59</v>
      </c>
      <c r="N205" t="s">
        <v>38</v>
      </c>
      <c r="O205" t="s">
        <v>39</v>
      </c>
      <c r="P205" s="2">
        <v>2043.44</v>
      </c>
      <c r="Q205" t="s">
        <v>51</v>
      </c>
      <c r="R205" s="1">
        <v>45092</v>
      </c>
      <c r="S205" s="1"/>
    </row>
    <row r="206" spans="1:19" x14ac:dyDescent="0.3">
      <c r="A206">
        <v>13886</v>
      </c>
      <c r="B206" t="s">
        <v>17</v>
      </c>
      <c r="C206" t="s">
        <v>18</v>
      </c>
      <c r="D206">
        <v>70000</v>
      </c>
      <c r="E206" t="str">
        <f>IF(Sales_Data[[#This Row],[Income]]&lt;=20000,"Low Income",IF(Sales_Data[[#This Row],[Income]]&lt;=40000,"Lower Middle",IF(Sales_Data[[#This Row],[Income]]&lt;=60000,"Middle Income",IF(Sales_Data[[#This Row],[Income]]&lt;=80000,"Upper Middle","High Income"))))</f>
        <v>Upper Middle</v>
      </c>
      <c r="F206">
        <v>4</v>
      </c>
      <c r="G206" t="s">
        <v>61</v>
      </c>
      <c r="H206" t="s">
        <v>31</v>
      </c>
      <c r="I206" t="s">
        <v>21</v>
      </c>
      <c r="J206">
        <v>0</v>
      </c>
      <c r="K206" t="s">
        <v>33</v>
      </c>
      <c r="L206" t="s">
        <v>63</v>
      </c>
      <c r="M206">
        <v>35</v>
      </c>
      <c r="N206" t="s">
        <v>38</v>
      </c>
      <c r="O206" t="s">
        <v>62</v>
      </c>
      <c r="P206" s="2">
        <v>5347.78</v>
      </c>
      <c r="Q206" t="s">
        <v>52</v>
      </c>
      <c r="R206" s="1">
        <v>44985</v>
      </c>
      <c r="S206" s="1"/>
    </row>
    <row r="207" spans="1:19" x14ac:dyDescent="0.3">
      <c r="A207">
        <v>27434</v>
      </c>
      <c r="B207" t="s">
        <v>35</v>
      </c>
      <c r="C207" t="s">
        <v>17</v>
      </c>
      <c r="D207">
        <v>70000</v>
      </c>
      <c r="E207" t="str">
        <f>IF(Sales_Data[[#This Row],[Income]]&lt;=20000,"Low Income",IF(Sales_Data[[#This Row],[Income]]&lt;=40000,"Lower Middle",IF(Sales_Data[[#This Row],[Income]]&lt;=60000,"Middle Income",IF(Sales_Data[[#This Row],[Income]]&lt;=80000,"Upper Middle","High Income"))))</f>
        <v>Upper Middle</v>
      </c>
      <c r="F207">
        <v>4</v>
      </c>
      <c r="G207" t="s">
        <v>27</v>
      </c>
      <c r="H207" t="s">
        <v>31</v>
      </c>
      <c r="I207" t="s">
        <v>21</v>
      </c>
      <c r="J207">
        <v>1</v>
      </c>
      <c r="K207" t="s">
        <v>53</v>
      </c>
      <c r="L207" t="s">
        <v>63</v>
      </c>
      <c r="M207">
        <v>56</v>
      </c>
      <c r="N207" t="s">
        <v>24</v>
      </c>
      <c r="O207" t="s">
        <v>25</v>
      </c>
      <c r="P207" s="2">
        <v>2442.41</v>
      </c>
      <c r="Q207" t="s">
        <v>56</v>
      </c>
      <c r="R207" s="1">
        <v>45174</v>
      </c>
      <c r="S207" s="1"/>
    </row>
    <row r="208" spans="1:19" x14ac:dyDescent="0.3">
      <c r="A208">
        <v>19012</v>
      </c>
      <c r="B208" t="s">
        <v>17</v>
      </c>
      <c r="C208" t="s">
        <v>17</v>
      </c>
      <c r="D208">
        <v>80000</v>
      </c>
      <c r="E208" t="str">
        <f>IF(Sales_Data[[#This Row],[Income]]&lt;=20000,"Low Income",IF(Sales_Data[[#This Row],[Income]]&lt;=40000,"Lower Middle",IF(Sales_Data[[#This Row],[Income]]&lt;=60000,"Middle Income",IF(Sales_Data[[#This Row],[Income]]&lt;=80000,"Upper Middle","High Income"))))</f>
        <v>Upper Middle</v>
      </c>
      <c r="F208">
        <v>3</v>
      </c>
      <c r="G208" t="s">
        <v>19</v>
      </c>
      <c r="H208" t="s">
        <v>46</v>
      </c>
      <c r="I208" t="s">
        <v>21</v>
      </c>
      <c r="J208">
        <v>1</v>
      </c>
      <c r="K208" t="s">
        <v>43</v>
      </c>
      <c r="L208" t="s">
        <v>63</v>
      </c>
      <c r="M208">
        <v>56</v>
      </c>
      <c r="N208" t="s">
        <v>24</v>
      </c>
      <c r="O208" t="s">
        <v>25</v>
      </c>
      <c r="P208" s="2">
        <v>970.87</v>
      </c>
      <c r="Q208" t="s">
        <v>26</v>
      </c>
      <c r="R208" s="1">
        <v>45271</v>
      </c>
      <c r="S208" s="1"/>
    </row>
    <row r="209" spans="1:19" x14ac:dyDescent="0.3">
      <c r="A209">
        <v>17462</v>
      </c>
      <c r="B209" t="s">
        <v>17</v>
      </c>
      <c r="C209" t="s">
        <v>17</v>
      </c>
      <c r="D209">
        <v>70000</v>
      </c>
      <c r="E209" t="str">
        <f>IF(Sales_Data[[#This Row],[Income]]&lt;=20000,"Low Income",IF(Sales_Data[[#This Row],[Income]]&lt;=40000,"Lower Middle",IF(Sales_Data[[#This Row],[Income]]&lt;=60000,"Middle Income",IF(Sales_Data[[#This Row],[Income]]&lt;=80000,"Upper Middle","High Income"))))</f>
        <v>Upper Middle</v>
      </c>
      <c r="F209">
        <v>3</v>
      </c>
      <c r="G209" t="s">
        <v>61</v>
      </c>
      <c r="H209" t="s">
        <v>46</v>
      </c>
      <c r="I209" t="s">
        <v>21</v>
      </c>
      <c r="J209">
        <v>2</v>
      </c>
      <c r="K209" t="s">
        <v>36</v>
      </c>
      <c r="L209" t="s">
        <v>63</v>
      </c>
      <c r="M209">
        <v>53</v>
      </c>
      <c r="N209" t="s">
        <v>38</v>
      </c>
      <c r="O209" t="s">
        <v>47</v>
      </c>
      <c r="P209" s="2">
        <v>1687.55</v>
      </c>
      <c r="Q209" t="s">
        <v>30</v>
      </c>
      <c r="R209" s="1">
        <v>45002</v>
      </c>
      <c r="S209" s="1"/>
    </row>
    <row r="210" spans="1:19" x14ac:dyDescent="0.3">
      <c r="A210">
        <v>20659</v>
      </c>
      <c r="B210" t="s">
        <v>17</v>
      </c>
      <c r="C210" t="s">
        <v>17</v>
      </c>
      <c r="D210">
        <v>70000</v>
      </c>
      <c r="E210" t="str">
        <f>IF(Sales_Data[[#This Row],[Income]]&lt;=20000,"Low Income",IF(Sales_Data[[#This Row],[Income]]&lt;=40000,"Lower Middle",IF(Sales_Data[[#This Row],[Income]]&lt;=60000,"Middle Income",IF(Sales_Data[[#This Row],[Income]]&lt;=80000,"Upper Middle","High Income"))))</f>
        <v>Upper Middle</v>
      </c>
      <c r="F210">
        <v>3</v>
      </c>
      <c r="G210" t="s">
        <v>61</v>
      </c>
      <c r="H210" t="s">
        <v>31</v>
      </c>
      <c r="I210" t="s">
        <v>21</v>
      </c>
      <c r="J210">
        <v>0</v>
      </c>
      <c r="K210" t="s">
        <v>22</v>
      </c>
      <c r="L210" t="s">
        <v>63</v>
      </c>
      <c r="M210">
        <v>35</v>
      </c>
      <c r="N210" t="s">
        <v>38</v>
      </c>
      <c r="O210" t="s">
        <v>41</v>
      </c>
      <c r="P210" s="2">
        <v>6791.62</v>
      </c>
      <c r="Q210" t="s">
        <v>51</v>
      </c>
      <c r="R210" s="1">
        <v>45106</v>
      </c>
      <c r="S210" s="1"/>
    </row>
    <row r="211" spans="1:19" x14ac:dyDescent="0.3">
      <c r="A211">
        <v>19741</v>
      </c>
      <c r="B211" t="s">
        <v>35</v>
      </c>
      <c r="C211" t="s">
        <v>18</v>
      </c>
      <c r="D211">
        <v>80000</v>
      </c>
      <c r="E211" t="str">
        <f>IF(Sales_Data[[#This Row],[Income]]&lt;=20000,"Low Income",IF(Sales_Data[[#This Row],[Income]]&lt;=40000,"Lower Middle",IF(Sales_Data[[#This Row],[Income]]&lt;=60000,"Middle Income",IF(Sales_Data[[#This Row],[Income]]&lt;=80000,"Upper Middle","High Income"))))</f>
        <v>Upper Middle</v>
      </c>
      <c r="F211">
        <v>4</v>
      </c>
      <c r="G211" t="s">
        <v>61</v>
      </c>
      <c r="H211" t="s">
        <v>46</v>
      </c>
      <c r="I211" t="s">
        <v>21</v>
      </c>
      <c r="J211">
        <v>2</v>
      </c>
      <c r="K211" t="s">
        <v>36</v>
      </c>
      <c r="L211" t="s">
        <v>63</v>
      </c>
      <c r="M211">
        <v>65</v>
      </c>
      <c r="N211" t="s">
        <v>24</v>
      </c>
      <c r="O211" t="s">
        <v>25</v>
      </c>
      <c r="P211" s="2">
        <v>5801.04</v>
      </c>
      <c r="Q211" t="s">
        <v>57</v>
      </c>
      <c r="R211" s="1">
        <v>45223</v>
      </c>
      <c r="S211" s="1"/>
    </row>
    <row r="212" spans="1:19" x14ac:dyDescent="0.3">
      <c r="A212">
        <v>17450</v>
      </c>
      <c r="B212" t="s">
        <v>17</v>
      </c>
      <c r="C212" t="s">
        <v>17</v>
      </c>
      <c r="D212">
        <v>80000</v>
      </c>
      <c r="E212" t="str">
        <f>IF(Sales_Data[[#This Row],[Income]]&lt;=20000,"Low Income",IF(Sales_Data[[#This Row],[Income]]&lt;=40000,"Lower Middle",IF(Sales_Data[[#This Row],[Income]]&lt;=60000,"Middle Income",IF(Sales_Data[[#This Row],[Income]]&lt;=80000,"Upper Middle","High Income"))))</f>
        <v>Upper Middle</v>
      </c>
      <c r="F212">
        <v>5</v>
      </c>
      <c r="G212" t="s">
        <v>27</v>
      </c>
      <c r="H212" t="s">
        <v>31</v>
      </c>
      <c r="I212" t="s">
        <v>21</v>
      </c>
      <c r="J212">
        <v>3</v>
      </c>
      <c r="K212" t="s">
        <v>36</v>
      </c>
      <c r="L212" t="s">
        <v>63</v>
      </c>
      <c r="M212">
        <v>45</v>
      </c>
      <c r="N212" t="s">
        <v>38</v>
      </c>
      <c r="O212" t="s">
        <v>41</v>
      </c>
      <c r="P212" s="2">
        <v>3034.68</v>
      </c>
      <c r="Q212" t="s">
        <v>59</v>
      </c>
      <c r="R212" s="1">
        <v>45025</v>
      </c>
      <c r="S212" s="1"/>
    </row>
    <row r="213" spans="1:19" x14ac:dyDescent="0.3">
      <c r="A213">
        <v>18594</v>
      </c>
      <c r="B213" t="s">
        <v>35</v>
      </c>
      <c r="C213" t="s">
        <v>18</v>
      </c>
      <c r="D213">
        <v>80000</v>
      </c>
      <c r="E213" t="str">
        <f>IF(Sales_Data[[#This Row],[Income]]&lt;=20000,"Low Income",IF(Sales_Data[[#This Row],[Income]]&lt;=40000,"Lower Middle",IF(Sales_Data[[#This Row],[Income]]&lt;=60000,"Middle Income",IF(Sales_Data[[#This Row],[Income]]&lt;=80000,"Upper Middle","High Income"))))</f>
        <v>Upper Middle</v>
      </c>
      <c r="F213">
        <v>3</v>
      </c>
      <c r="G213" t="s">
        <v>19</v>
      </c>
      <c r="H213" t="s">
        <v>20</v>
      </c>
      <c r="I213" t="s">
        <v>21</v>
      </c>
      <c r="J213">
        <v>3</v>
      </c>
      <c r="K213" t="s">
        <v>53</v>
      </c>
      <c r="L213" t="s">
        <v>63</v>
      </c>
      <c r="M213">
        <v>40</v>
      </c>
      <c r="N213" t="s">
        <v>24</v>
      </c>
      <c r="O213" t="s">
        <v>34</v>
      </c>
      <c r="P213" s="2">
        <v>1852.36</v>
      </c>
      <c r="Q213" t="s">
        <v>57</v>
      </c>
      <c r="R213" s="1">
        <v>45203</v>
      </c>
      <c r="S213" s="1"/>
    </row>
    <row r="214" spans="1:19" x14ac:dyDescent="0.3">
      <c r="A214">
        <v>22730</v>
      </c>
      <c r="B214" t="s">
        <v>17</v>
      </c>
      <c r="C214" t="s">
        <v>17</v>
      </c>
      <c r="D214">
        <v>70000</v>
      </c>
      <c r="E214" t="str">
        <f>IF(Sales_Data[[#This Row],[Income]]&lt;=20000,"Low Income",IF(Sales_Data[[#This Row],[Income]]&lt;=40000,"Lower Middle",IF(Sales_Data[[#This Row],[Income]]&lt;=60000,"Middle Income",IF(Sales_Data[[#This Row],[Income]]&lt;=80000,"Upper Middle","High Income"))))</f>
        <v>Upper Middle</v>
      </c>
      <c r="F214">
        <v>5</v>
      </c>
      <c r="G214" t="s">
        <v>19</v>
      </c>
      <c r="H214" t="s">
        <v>46</v>
      </c>
      <c r="I214" t="s">
        <v>21</v>
      </c>
      <c r="J214">
        <v>2</v>
      </c>
      <c r="K214" t="s">
        <v>53</v>
      </c>
      <c r="L214" t="s">
        <v>63</v>
      </c>
      <c r="M214">
        <v>63</v>
      </c>
      <c r="N214" t="s">
        <v>38</v>
      </c>
      <c r="O214" t="s">
        <v>39</v>
      </c>
      <c r="P214" s="2">
        <v>6574.85</v>
      </c>
      <c r="Q214" t="s">
        <v>52</v>
      </c>
      <c r="R214" s="1">
        <v>44964</v>
      </c>
      <c r="S214" s="1"/>
    </row>
    <row r="215" spans="1:19" x14ac:dyDescent="0.3">
      <c r="A215">
        <v>13466</v>
      </c>
      <c r="B215" t="s">
        <v>17</v>
      </c>
      <c r="C215" t="s">
        <v>17</v>
      </c>
      <c r="D215">
        <v>80000</v>
      </c>
      <c r="E215" t="str">
        <f>IF(Sales_Data[[#This Row],[Income]]&lt;=20000,"Low Income",IF(Sales_Data[[#This Row],[Income]]&lt;=40000,"Lower Middle",IF(Sales_Data[[#This Row],[Income]]&lt;=60000,"Middle Income",IF(Sales_Data[[#This Row],[Income]]&lt;=80000,"Upper Middle","High Income"))))</f>
        <v>Upper Middle</v>
      </c>
      <c r="F215">
        <v>5</v>
      </c>
      <c r="G215" t="s">
        <v>27</v>
      </c>
      <c r="H215" t="s">
        <v>31</v>
      </c>
      <c r="I215" t="s">
        <v>21</v>
      </c>
      <c r="J215">
        <v>3</v>
      </c>
      <c r="K215" t="s">
        <v>43</v>
      </c>
      <c r="L215" t="s">
        <v>63</v>
      </c>
      <c r="M215">
        <v>46</v>
      </c>
      <c r="N215" t="s">
        <v>38</v>
      </c>
      <c r="O215" t="s">
        <v>54</v>
      </c>
      <c r="P215" s="2">
        <v>6900.46</v>
      </c>
      <c r="Q215" t="s">
        <v>48</v>
      </c>
      <c r="R215" s="1">
        <v>45167</v>
      </c>
      <c r="S215" s="1"/>
    </row>
    <row r="216" spans="1:19" x14ac:dyDescent="0.3">
      <c r="A216">
        <v>28672</v>
      </c>
      <c r="B216" t="s">
        <v>35</v>
      </c>
      <c r="C216" t="s">
        <v>17</v>
      </c>
      <c r="D216">
        <v>70000</v>
      </c>
      <c r="E216" t="str">
        <f>IF(Sales_Data[[#This Row],[Income]]&lt;=20000,"Low Income",IF(Sales_Data[[#This Row],[Income]]&lt;=40000,"Lower Middle",IF(Sales_Data[[#This Row],[Income]]&lt;=60000,"Middle Income",IF(Sales_Data[[#This Row],[Income]]&lt;=80000,"Upper Middle","High Income"))))</f>
        <v>Upper Middle</v>
      </c>
      <c r="F216">
        <v>4</v>
      </c>
      <c r="G216" t="s">
        <v>61</v>
      </c>
      <c r="H216" t="s">
        <v>31</v>
      </c>
      <c r="I216" t="s">
        <v>21</v>
      </c>
      <c r="J216">
        <v>0</v>
      </c>
      <c r="K216" t="s">
        <v>33</v>
      </c>
      <c r="L216" t="s">
        <v>63</v>
      </c>
      <c r="M216">
        <v>35</v>
      </c>
      <c r="N216" t="s">
        <v>24</v>
      </c>
      <c r="O216" t="s">
        <v>29</v>
      </c>
      <c r="P216" s="2">
        <v>6873.51</v>
      </c>
      <c r="Q216" t="s">
        <v>30</v>
      </c>
      <c r="R216" s="1">
        <v>45011</v>
      </c>
      <c r="S216" s="1"/>
    </row>
    <row r="217" spans="1:19" x14ac:dyDescent="0.3">
      <c r="A217">
        <v>21564</v>
      </c>
      <c r="B217" t="s">
        <v>35</v>
      </c>
      <c r="C217" t="s">
        <v>18</v>
      </c>
      <c r="D217">
        <v>80000</v>
      </c>
      <c r="E217" t="str">
        <f>IF(Sales_Data[[#This Row],[Income]]&lt;=20000,"Low Income",IF(Sales_Data[[#This Row],[Income]]&lt;=40000,"Lower Middle",IF(Sales_Data[[#This Row],[Income]]&lt;=60000,"Middle Income",IF(Sales_Data[[#This Row],[Income]]&lt;=80000,"Upper Middle","High Income"))))</f>
        <v>Upper Middle</v>
      </c>
      <c r="F217">
        <v>0</v>
      </c>
      <c r="G217" t="s">
        <v>19</v>
      </c>
      <c r="H217" t="s">
        <v>31</v>
      </c>
      <c r="I217" t="s">
        <v>21</v>
      </c>
      <c r="J217">
        <v>4</v>
      </c>
      <c r="K217" t="s">
        <v>53</v>
      </c>
      <c r="L217" t="s">
        <v>37</v>
      </c>
      <c r="M217">
        <v>35</v>
      </c>
      <c r="N217" t="s">
        <v>38</v>
      </c>
      <c r="O217" t="s">
        <v>54</v>
      </c>
      <c r="P217" s="2">
        <v>1473.76</v>
      </c>
      <c r="Q217" t="s">
        <v>44</v>
      </c>
      <c r="R217" s="1">
        <v>44938</v>
      </c>
      <c r="S217" s="1"/>
    </row>
    <row r="218" spans="1:19" x14ac:dyDescent="0.3">
      <c r="A218">
        <v>26412</v>
      </c>
      <c r="B218" t="s">
        <v>17</v>
      </c>
      <c r="C218" t="s">
        <v>18</v>
      </c>
      <c r="D218">
        <v>80000</v>
      </c>
      <c r="E218" t="str">
        <f>IF(Sales_Data[[#This Row],[Income]]&lt;=20000,"Low Income",IF(Sales_Data[[#This Row],[Income]]&lt;=40000,"Lower Middle",IF(Sales_Data[[#This Row],[Income]]&lt;=60000,"Middle Income",IF(Sales_Data[[#This Row],[Income]]&lt;=80000,"Upper Middle","High Income"))))</f>
        <v>Upper Middle</v>
      </c>
      <c r="F218">
        <v>5</v>
      </c>
      <c r="G218" t="s">
        <v>45</v>
      </c>
      <c r="H218" t="s">
        <v>46</v>
      </c>
      <c r="I218" t="s">
        <v>32</v>
      </c>
      <c r="J218">
        <v>3</v>
      </c>
      <c r="K218" t="s">
        <v>36</v>
      </c>
      <c r="L218" t="s">
        <v>23</v>
      </c>
      <c r="M218">
        <v>56</v>
      </c>
      <c r="N218" t="s">
        <v>38</v>
      </c>
      <c r="O218" t="s">
        <v>41</v>
      </c>
      <c r="P218" s="2">
        <v>3284.35</v>
      </c>
      <c r="Q218" t="s">
        <v>57</v>
      </c>
      <c r="R218" s="1">
        <v>45226</v>
      </c>
      <c r="S218" s="1"/>
    </row>
    <row r="219" spans="1:19" x14ac:dyDescent="0.3">
      <c r="A219">
        <v>18299</v>
      </c>
      <c r="B219" t="s">
        <v>17</v>
      </c>
      <c r="C219" t="s">
        <v>17</v>
      </c>
      <c r="D219">
        <v>70000</v>
      </c>
      <c r="E219" t="str">
        <f>IF(Sales_Data[[#This Row],[Income]]&lt;=20000,"Low Income",IF(Sales_Data[[#This Row],[Income]]&lt;=40000,"Lower Middle",IF(Sales_Data[[#This Row],[Income]]&lt;=60000,"Middle Income",IF(Sales_Data[[#This Row],[Income]]&lt;=80000,"Upper Middle","High Income"))))</f>
        <v>Upper Middle</v>
      </c>
      <c r="F219">
        <v>5</v>
      </c>
      <c r="G219" t="s">
        <v>27</v>
      </c>
      <c r="H219" t="s">
        <v>20</v>
      </c>
      <c r="I219" t="s">
        <v>21</v>
      </c>
      <c r="J219">
        <v>2</v>
      </c>
      <c r="K219" t="s">
        <v>36</v>
      </c>
      <c r="L219" t="s">
        <v>37</v>
      </c>
      <c r="M219">
        <v>44</v>
      </c>
      <c r="N219" t="s">
        <v>38</v>
      </c>
      <c r="O219" t="s">
        <v>47</v>
      </c>
      <c r="P219" s="2">
        <v>4397.3599999999997</v>
      </c>
      <c r="Q219" t="s">
        <v>48</v>
      </c>
      <c r="R219" s="1">
        <v>45148</v>
      </c>
      <c r="S219" s="1"/>
    </row>
    <row r="220" spans="1:19" x14ac:dyDescent="0.3">
      <c r="A220">
        <v>18484</v>
      </c>
      <c r="B220" t="s">
        <v>35</v>
      </c>
      <c r="C220" t="s">
        <v>17</v>
      </c>
      <c r="D220">
        <v>80000</v>
      </c>
      <c r="E220" t="str">
        <f>IF(Sales_Data[[#This Row],[Income]]&lt;=20000,"Low Income",IF(Sales_Data[[#This Row],[Income]]&lt;=40000,"Lower Middle",IF(Sales_Data[[#This Row],[Income]]&lt;=60000,"Middle Income",IF(Sales_Data[[#This Row],[Income]]&lt;=80000,"Upper Middle","High Income"))))</f>
        <v>Upper Middle</v>
      </c>
      <c r="F220">
        <v>2</v>
      </c>
      <c r="G220" t="s">
        <v>45</v>
      </c>
      <c r="H220" t="s">
        <v>20</v>
      </c>
      <c r="I220" t="s">
        <v>32</v>
      </c>
      <c r="J220">
        <v>2</v>
      </c>
      <c r="K220" t="s">
        <v>43</v>
      </c>
      <c r="L220" t="s">
        <v>37</v>
      </c>
      <c r="M220">
        <v>50</v>
      </c>
      <c r="N220" t="s">
        <v>38</v>
      </c>
      <c r="O220" t="s">
        <v>47</v>
      </c>
      <c r="P220" s="2">
        <v>1659.04</v>
      </c>
      <c r="Q220" t="s">
        <v>48</v>
      </c>
      <c r="R220" s="1">
        <v>45160</v>
      </c>
      <c r="S220" s="1"/>
    </row>
    <row r="221" spans="1:19" x14ac:dyDescent="0.3">
      <c r="A221">
        <v>23542</v>
      </c>
      <c r="B221" t="s">
        <v>35</v>
      </c>
      <c r="C221" t="s">
        <v>17</v>
      </c>
      <c r="D221">
        <v>60000</v>
      </c>
      <c r="E221" t="str">
        <f>IF(Sales_Data[[#This Row],[Income]]&lt;=20000,"Low Income",IF(Sales_Data[[#This Row],[Income]]&lt;=40000,"Lower Middle",IF(Sales_Data[[#This Row],[Income]]&lt;=60000,"Middle Income",IF(Sales_Data[[#This Row],[Income]]&lt;=80000,"Upper Middle","High Income"))))</f>
        <v>Middle Income</v>
      </c>
      <c r="F221">
        <v>1</v>
      </c>
      <c r="G221" t="s">
        <v>27</v>
      </c>
      <c r="H221" t="s">
        <v>20</v>
      </c>
      <c r="I221" t="s">
        <v>32</v>
      </c>
      <c r="J221">
        <v>1</v>
      </c>
      <c r="K221" t="s">
        <v>22</v>
      </c>
      <c r="L221" t="s">
        <v>37</v>
      </c>
      <c r="M221">
        <v>45</v>
      </c>
      <c r="N221" t="s">
        <v>24</v>
      </c>
      <c r="O221" t="s">
        <v>25</v>
      </c>
      <c r="P221" s="2">
        <v>3095.6</v>
      </c>
      <c r="Q221" t="s">
        <v>57</v>
      </c>
      <c r="R221" s="1">
        <v>45225</v>
      </c>
      <c r="S221" s="1"/>
    </row>
    <row r="222" spans="1:19" x14ac:dyDescent="0.3">
      <c r="A222">
        <v>24466</v>
      </c>
      <c r="B222" t="s">
        <v>17</v>
      </c>
      <c r="C222" t="s">
        <v>18</v>
      </c>
      <c r="D222">
        <v>60000</v>
      </c>
      <c r="E222" t="str">
        <f>IF(Sales_Data[[#This Row],[Income]]&lt;=20000,"Low Income",IF(Sales_Data[[#This Row],[Income]]&lt;=40000,"Lower Middle",IF(Sales_Data[[#This Row],[Income]]&lt;=60000,"Middle Income",IF(Sales_Data[[#This Row],[Income]]&lt;=80000,"Upper Middle","High Income"))))</f>
        <v>Middle Income</v>
      </c>
      <c r="F222">
        <v>1</v>
      </c>
      <c r="G222" t="s">
        <v>27</v>
      </c>
      <c r="H222" t="s">
        <v>20</v>
      </c>
      <c r="I222" t="s">
        <v>21</v>
      </c>
      <c r="J222">
        <v>1</v>
      </c>
      <c r="K222" t="s">
        <v>36</v>
      </c>
      <c r="L222" t="s">
        <v>37</v>
      </c>
      <c r="M222">
        <v>46</v>
      </c>
      <c r="N222" t="s">
        <v>24</v>
      </c>
      <c r="O222" t="s">
        <v>34</v>
      </c>
      <c r="P222" s="2">
        <v>7204.87</v>
      </c>
      <c r="Q222" t="s">
        <v>51</v>
      </c>
      <c r="R222" s="1">
        <v>45089</v>
      </c>
      <c r="S222" s="1"/>
    </row>
    <row r="223" spans="1:19" x14ac:dyDescent="0.3">
      <c r="A223">
        <v>15580</v>
      </c>
      <c r="B223" t="s">
        <v>17</v>
      </c>
      <c r="C223" t="s">
        <v>17</v>
      </c>
      <c r="D223">
        <v>60000</v>
      </c>
      <c r="E223" t="str">
        <f>IF(Sales_Data[[#This Row],[Income]]&lt;=20000,"Low Income",IF(Sales_Data[[#This Row],[Income]]&lt;=40000,"Lower Middle",IF(Sales_Data[[#This Row],[Income]]&lt;=60000,"Middle Income",IF(Sales_Data[[#This Row],[Income]]&lt;=80000,"Upper Middle","High Income"))))</f>
        <v>Middle Income</v>
      </c>
      <c r="F223">
        <v>2</v>
      </c>
      <c r="G223" t="s">
        <v>19</v>
      </c>
      <c r="H223" t="s">
        <v>31</v>
      </c>
      <c r="I223" t="s">
        <v>21</v>
      </c>
      <c r="J223">
        <v>1</v>
      </c>
      <c r="K223" t="s">
        <v>33</v>
      </c>
      <c r="L223" t="s">
        <v>37</v>
      </c>
      <c r="M223">
        <v>38</v>
      </c>
      <c r="N223" t="s">
        <v>38</v>
      </c>
      <c r="O223" t="s">
        <v>47</v>
      </c>
      <c r="P223" s="2">
        <v>4138.2299999999996</v>
      </c>
      <c r="Q223" t="s">
        <v>60</v>
      </c>
      <c r="R223" s="1">
        <v>45254</v>
      </c>
      <c r="S223" s="1"/>
    </row>
    <row r="224" spans="1:19" x14ac:dyDescent="0.3">
      <c r="A224">
        <v>16185</v>
      </c>
      <c r="B224" t="s">
        <v>35</v>
      </c>
      <c r="C224" t="s">
        <v>17</v>
      </c>
      <c r="D224">
        <v>60000</v>
      </c>
      <c r="E224" t="str">
        <f>IF(Sales_Data[[#This Row],[Income]]&lt;=20000,"Low Income",IF(Sales_Data[[#This Row],[Income]]&lt;=40000,"Lower Middle",IF(Sales_Data[[#This Row],[Income]]&lt;=60000,"Middle Income",IF(Sales_Data[[#This Row],[Income]]&lt;=80000,"Upper Middle","High Income"))))</f>
        <v>Middle Income</v>
      </c>
      <c r="F224">
        <v>4</v>
      </c>
      <c r="G224" t="s">
        <v>19</v>
      </c>
      <c r="H224" t="s">
        <v>31</v>
      </c>
      <c r="I224" t="s">
        <v>21</v>
      </c>
      <c r="J224">
        <v>3</v>
      </c>
      <c r="K224" t="s">
        <v>53</v>
      </c>
      <c r="L224" t="s">
        <v>37</v>
      </c>
      <c r="M224">
        <v>41</v>
      </c>
      <c r="N224" t="s">
        <v>24</v>
      </c>
      <c r="O224" t="s">
        <v>49</v>
      </c>
      <c r="P224" s="2">
        <v>1506.78</v>
      </c>
      <c r="Q224" t="s">
        <v>51</v>
      </c>
      <c r="R224" s="1">
        <v>45088</v>
      </c>
      <c r="S224" s="1"/>
    </row>
    <row r="225" spans="1:19" x14ac:dyDescent="0.3">
      <c r="A225">
        <v>19562</v>
      </c>
      <c r="B225" t="s">
        <v>35</v>
      </c>
      <c r="C225" t="s">
        <v>18</v>
      </c>
      <c r="D225">
        <v>60000</v>
      </c>
      <c r="E225" t="str">
        <f>IF(Sales_Data[[#This Row],[Income]]&lt;=20000,"Low Income",IF(Sales_Data[[#This Row],[Income]]&lt;=40000,"Lower Middle",IF(Sales_Data[[#This Row],[Income]]&lt;=60000,"Middle Income",IF(Sales_Data[[#This Row],[Income]]&lt;=80000,"Upper Middle","High Income"))))</f>
        <v>Middle Income</v>
      </c>
      <c r="F225">
        <v>2</v>
      </c>
      <c r="G225" t="s">
        <v>19</v>
      </c>
      <c r="H225" t="s">
        <v>31</v>
      </c>
      <c r="I225" t="s">
        <v>21</v>
      </c>
      <c r="J225">
        <v>1</v>
      </c>
      <c r="K225" t="s">
        <v>33</v>
      </c>
      <c r="L225" t="s">
        <v>37</v>
      </c>
      <c r="M225">
        <v>37</v>
      </c>
      <c r="N225" t="s">
        <v>38</v>
      </c>
      <c r="O225" t="s">
        <v>41</v>
      </c>
      <c r="P225" s="2">
        <v>7184.05</v>
      </c>
      <c r="Q225" t="s">
        <v>57</v>
      </c>
      <c r="R225" s="1">
        <v>45219</v>
      </c>
      <c r="S225" s="1"/>
    </row>
    <row r="226" spans="1:19" x14ac:dyDescent="0.3">
      <c r="A226">
        <v>20236</v>
      </c>
      <c r="B226" t="s">
        <v>35</v>
      </c>
      <c r="C226" t="s">
        <v>17</v>
      </c>
      <c r="D226">
        <v>60000</v>
      </c>
      <c r="E226" t="str">
        <f>IF(Sales_Data[[#This Row],[Income]]&lt;=20000,"Low Income",IF(Sales_Data[[#This Row],[Income]]&lt;=40000,"Lower Middle",IF(Sales_Data[[#This Row],[Income]]&lt;=60000,"Middle Income",IF(Sales_Data[[#This Row],[Income]]&lt;=80000,"Upper Middle","High Income"))))</f>
        <v>Middle Income</v>
      </c>
      <c r="F226">
        <v>3</v>
      </c>
      <c r="G226" t="s">
        <v>19</v>
      </c>
      <c r="H226" t="s">
        <v>31</v>
      </c>
      <c r="I226" t="s">
        <v>32</v>
      </c>
      <c r="J226">
        <v>2</v>
      </c>
      <c r="K226" t="s">
        <v>22</v>
      </c>
      <c r="L226" t="s">
        <v>37</v>
      </c>
      <c r="M226">
        <v>43</v>
      </c>
      <c r="N226" t="s">
        <v>38</v>
      </c>
      <c r="O226" t="s">
        <v>62</v>
      </c>
      <c r="P226" s="2">
        <v>261.64999999999998</v>
      </c>
      <c r="Q226" t="s">
        <v>52</v>
      </c>
      <c r="R226" s="1">
        <v>44961</v>
      </c>
      <c r="S226" s="1"/>
    </row>
    <row r="227" spans="1:19" x14ac:dyDescent="0.3">
      <c r="A227">
        <v>26139</v>
      </c>
      <c r="B227" t="s">
        <v>35</v>
      </c>
      <c r="C227" t="s">
        <v>17</v>
      </c>
      <c r="D227">
        <v>60000</v>
      </c>
      <c r="E227" t="str">
        <f>IF(Sales_Data[[#This Row],[Income]]&lt;=20000,"Low Income",IF(Sales_Data[[#This Row],[Income]]&lt;=40000,"Lower Middle",IF(Sales_Data[[#This Row],[Income]]&lt;=60000,"Middle Income",IF(Sales_Data[[#This Row],[Income]]&lt;=80000,"Upper Middle","High Income"))))</f>
        <v>Middle Income</v>
      </c>
      <c r="F227">
        <v>1</v>
      </c>
      <c r="G227" t="s">
        <v>27</v>
      </c>
      <c r="H227" t="s">
        <v>20</v>
      </c>
      <c r="I227" t="s">
        <v>21</v>
      </c>
      <c r="J227">
        <v>1</v>
      </c>
      <c r="K227" t="s">
        <v>36</v>
      </c>
      <c r="L227" t="s">
        <v>37</v>
      </c>
      <c r="M227">
        <v>45</v>
      </c>
      <c r="N227" t="s">
        <v>24</v>
      </c>
      <c r="O227" t="s">
        <v>29</v>
      </c>
      <c r="P227" s="2">
        <v>7442.38</v>
      </c>
      <c r="Q227" t="s">
        <v>57</v>
      </c>
      <c r="R227" s="1">
        <v>45212</v>
      </c>
      <c r="S227" s="1"/>
    </row>
    <row r="228" spans="1:19" x14ac:dyDescent="0.3">
      <c r="A228">
        <v>12993</v>
      </c>
      <c r="B228" t="s">
        <v>17</v>
      </c>
      <c r="C228" t="s">
        <v>17</v>
      </c>
      <c r="D228">
        <v>60000</v>
      </c>
      <c r="E228" t="str">
        <f>IF(Sales_Data[[#This Row],[Income]]&lt;=20000,"Low Income",IF(Sales_Data[[#This Row],[Income]]&lt;=40000,"Lower Middle",IF(Sales_Data[[#This Row],[Income]]&lt;=60000,"Middle Income",IF(Sales_Data[[#This Row],[Income]]&lt;=80000,"Upper Middle","High Income"))))</f>
        <v>Middle Income</v>
      </c>
      <c r="F228">
        <v>2</v>
      </c>
      <c r="G228" t="s">
        <v>19</v>
      </c>
      <c r="H228" t="s">
        <v>31</v>
      </c>
      <c r="I228" t="s">
        <v>21</v>
      </c>
      <c r="J228">
        <v>1</v>
      </c>
      <c r="K228" t="s">
        <v>33</v>
      </c>
      <c r="L228" t="s">
        <v>37</v>
      </c>
      <c r="M228">
        <v>37</v>
      </c>
      <c r="N228" t="s">
        <v>38</v>
      </c>
      <c r="O228" t="s">
        <v>54</v>
      </c>
      <c r="P228" s="2">
        <v>3018.76</v>
      </c>
      <c r="Q228" t="s">
        <v>56</v>
      </c>
      <c r="R228" s="1">
        <v>45198</v>
      </c>
      <c r="S228" s="1"/>
    </row>
    <row r="229" spans="1:19" x14ac:dyDescent="0.3">
      <c r="A229">
        <v>26154</v>
      </c>
      <c r="B229" t="s">
        <v>17</v>
      </c>
      <c r="C229" t="s">
        <v>17</v>
      </c>
      <c r="D229">
        <v>60000</v>
      </c>
      <c r="E229" t="str">
        <f>IF(Sales_Data[[#This Row],[Income]]&lt;=20000,"Low Income",IF(Sales_Data[[#This Row],[Income]]&lt;=40000,"Lower Middle",IF(Sales_Data[[#This Row],[Income]]&lt;=60000,"Middle Income",IF(Sales_Data[[#This Row],[Income]]&lt;=80000,"Upper Middle","High Income"))))</f>
        <v>Middle Income</v>
      </c>
      <c r="F229">
        <v>1</v>
      </c>
      <c r="G229" t="s">
        <v>27</v>
      </c>
      <c r="H229" t="s">
        <v>20</v>
      </c>
      <c r="I229" t="s">
        <v>21</v>
      </c>
      <c r="J229">
        <v>1</v>
      </c>
      <c r="K229" t="s">
        <v>36</v>
      </c>
      <c r="L229" t="s">
        <v>37</v>
      </c>
      <c r="M229">
        <v>43</v>
      </c>
      <c r="N229" t="s">
        <v>24</v>
      </c>
      <c r="O229" t="s">
        <v>25</v>
      </c>
      <c r="P229" s="2">
        <v>3042.71</v>
      </c>
      <c r="Q229" t="s">
        <v>44</v>
      </c>
      <c r="R229" s="1">
        <v>44944</v>
      </c>
      <c r="S229" s="1"/>
    </row>
    <row r="230" spans="1:19" x14ac:dyDescent="0.3">
      <c r="A230">
        <v>21980</v>
      </c>
      <c r="B230" t="s">
        <v>35</v>
      </c>
      <c r="C230" t="s">
        <v>18</v>
      </c>
      <c r="D230">
        <v>60000</v>
      </c>
      <c r="E230" t="str">
        <f>IF(Sales_Data[[#This Row],[Income]]&lt;=20000,"Low Income",IF(Sales_Data[[#This Row],[Income]]&lt;=40000,"Lower Middle",IF(Sales_Data[[#This Row],[Income]]&lt;=60000,"Middle Income",IF(Sales_Data[[#This Row],[Income]]&lt;=80000,"Upper Middle","High Income"))))</f>
        <v>Middle Income</v>
      </c>
      <c r="F230">
        <v>1</v>
      </c>
      <c r="G230" t="s">
        <v>19</v>
      </c>
      <c r="H230" t="s">
        <v>31</v>
      </c>
      <c r="I230" t="s">
        <v>21</v>
      </c>
      <c r="J230">
        <v>1</v>
      </c>
      <c r="K230" t="s">
        <v>36</v>
      </c>
      <c r="L230" t="s">
        <v>37</v>
      </c>
      <c r="M230">
        <v>44</v>
      </c>
      <c r="N230" t="s">
        <v>38</v>
      </c>
      <c r="O230" t="s">
        <v>62</v>
      </c>
      <c r="P230" s="2">
        <v>3556.91</v>
      </c>
      <c r="Q230" t="s">
        <v>59</v>
      </c>
      <c r="R230" s="1">
        <v>45041</v>
      </c>
      <c r="S230" s="1"/>
    </row>
    <row r="231" spans="1:19" x14ac:dyDescent="0.3">
      <c r="A231">
        <v>29181</v>
      </c>
      <c r="B231" t="s">
        <v>35</v>
      </c>
      <c r="C231" t="s">
        <v>18</v>
      </c>
      <c r="D231">
        <v>60000</v>
      </c>
      <c r="E231" t="str">
        <f>IF(Sales_Data[[#This Row],[Income]]&lt;=20000,"Low Income",IF(Sales_Data[[#This Row],[Income]]&lt;=40000,"Lower Middle",IF(Sales_Data[[#This Row],[Income]]&lt;=60000,"Middle Income",IF(Sales_Data[[#This Row],[Income]]&lt;=80000,"Upper Middle","High Income"))))</f>
        <v>Middle Income</v>
      </c>
      <c r="F231">
        <v>2</v>
      </c>
      <c r="G231" t="s">
        <v>19</v>
      </c>
      <c r="H231" t="s">
        <v>31</v>
      </c>
      <c r="I231" t="s">
        <v>32</v>
      </c>
      <c r="J231">
        <v>1</v>
      </c>
      <c r="K231" t="s">
        <v>22</v>
      </c>
      <c r="L231" t="s">
        <v>37</v>
      </c>
      <c r="M231">
        <v>38</v>
      </c>
      <c r="N231" t="s">
        <v>38</v>
      </c>
      <c r="O231" t="s">
        <v>54</v>
      </c>
      <c r="P231" s="2">
        <v>5272.25</v>
      </c>
      <c r="Q231" t="s">
        <v>40</v>
      </c>
      <c r="R231" s="1">
        <v>45061</v>
      </c>
      <c r="S231" s="1"/>
    </row>
    <row r="232" spans="1:19" x14ac:dyDescent="0.3">
      <c r="A232">
        <v>19442</v>
      </c>
      <c r="B232" t="s">
        <v>35</v>
      </c>
      <c r="C232" t="s">
        <v>17</v>
      </c>
      <c r="D232">
        <v>50000</v>
      </c>
      <c r="E232" t="str">
        <f>IF(Sales_Data[[#This Row],[Income]]&lt;=20000,"Low Income",IF(Sales_Data[[#This Row],[Income]]&lt;=40000,"Lower Middle",IF(Sales_Data[[#This Row],[Income]]&lt;=60000,"Middle Income",IF(Sales_Data[[#This Row],[Income]]&lt;=80000,"Upper Middle","High Income"))))</f>
        <v>Middle Income</v>
      </c>
      <c r="F232">
        <v>0</v>
      </c>
      <c r="G232" t="s">
        <v>61</v>
      </c>
      <c r="H232" t="s">
        <v>20</v>
      </c>
      <c r="I232" t="s">
        <v>21</v>
      </c>
      <c r="J232">
        <v>0</v>
      </c>
      <c r="K232" t="s">
        <v>22</v>
      </c>
      <c r="L232" t="s">
        <v>23</v>
      </c>
      <c r="M232">
        <v>37</v>
      </c>
      <c r="N232" t="s">
        <v>24</v>
      </c>
      <c r="O232" t="s">
        <v>55</v>
      </c>
      <c r="P232" s="2">
        <v>8156.21</v>
      </c>
      <c r="Q232" t="s">
        <v>57</v>
      </c>
      <c r="R232" s="1">
        <v>45220</v>
      </c>
      <c r="S232" s="1"/>
    </row>
    <row r="233" spans="1:19" x14ac:dyDescent="0.3">
      <c r="A233">
        <v>16209</v>
      </c>
      <c r="B233" t="s">
        <v>35</v>
      </c>
      <c r="C233" t="s">
        <v>18</v>
      </c>
      <c r="D233">
        <v>50000</v>
      </c>
      <c r="E233" t="str">
        <f>IF(Sales_Data[[#This Row],[Income]]&lt;=20000,"Low Income",IF(Sales_Data[[#This Row],[Income]]&lt;=40000,"Lower Middle",IF(Sales_Data[[#This Row],[Income]]&lt;=60000,"Middle Income",IF(Sales_Data[[#This Row],[Income]]&lt;=80000,"Upper Middle","High Income"))))</f>
        <v>Middle Income</v>
      </c>
      <c r="F233">
        <v>0</v>
      </c>
      <c r="G233" t="s">
        <v>61</v>
      </c>
      <c r="H233" t="s">
        <v>20</v>
      </c>
      <c r="I233" t="s">
        <v>21</v>
      </c>
      <c r="J233">
        <v>0</v>
      </c>
      <c r="K233" t="s">
        <v>43</v>
      </c>
      <c r="L233" t="s">
        <v>23</v>
      </c>
      <c r="M233">
        <v>36</v>
      </c>
      <c r="N233" t="s">
        <v>24</v>
      </c>
      <c r="O233" t="s">
        <v>34</v>
      </c>
      <c r="P233" s="2">
        <v>384.08</v>
      </c>
      <c r="Q233" t="s">
        <v>48</v>
      </c>
      <c r="R233" s="1">
        <v>45149</v>
      </c>
      <c r="S233" s="1"/>
    </row>
    <row r="234" spans="1:19" x14ac:dyDescent="0.3">
      <c r="A234">
        <v>11147</v>
      </c>
      <c r="B234" t="s">
        <v>17</v>
      </c>
      <c r="C234" t="s">
        <v>17</v>
      </c>
      <c r="D234">
        <v>60000</v>
      </c>
      <c r="E234" t="str">
        <f>IF(Sales_Data[[#This Row],[Income]]&lt;=20000,"Low Income",IF(Sales_Data[[#This Row],[Income]]&lt;=40000,"Lower Middle",IF(Sales_Data[[#This Row],[Income]]&lt;=60000,"Middle Income",IF(Sales_Data[[#This Row],[Income]]&lt;=80000,"Upper Middle","High Income"))))</f>
        <v>Middle Income</v>
      </c>
      <c r="F234">
        <v>2</v>
      </c>
      <c r="G234" t="s">
        <v>61</v>
      </c>
      <c r="H234" t="s">
        <v>46</v>
      </c>
      <c r="I234" t="s">
        <v>21</v>
      </c>
      <c r="J234">
        <v>1</v>
      </c>
      <c r="K234" t="s">
        <v>22</v>
      </c>
      <c r="L234" t="s">
        <v>37</v>
      </c>
      <c r="M234">
        <v>67</v>
      </c>
      <c r="N234" t="s">
        <v>38</v>
      </c>
      <c r="O234" t="s">
        <v>41</v>
      </c>
      <c r="P234" s="2">
        <v>1950.94</v>
      </c>
      <c r="Q234" t="s">
        <v>58</v>
      </c>
      <c r="R234" s="1">
        <v>45119</v>
      </c>
      <c r="S234" s="1"/>
    </row>
    <row r="235" spans="1:19" x14ac:dyDescent="0.3">
      <c r="A235">
        <v>24584</v>
      </c>
      <c r="B235" t="s">
        <v>35</v>
      </c>
      <c r="C235" t="s">
        <v>17</v>
      </c>
      <c r="D235">
        <v>60000</v>
      </c>
      <c r="E235" t="str">
        <f>IF(Sales_Data[[#This Row],[Income]]&lt;=20000,"Low Income",IF(Sales_Data[[#This Row],[Income]]&lt;=40000,"Lower Middle",IF(Sales_Data[[#This Row],[Income]]&lt;=60000,"Middle Income",IF(Sales_Data[[#This Row],[Income]]&lt;=80000,"Upper Middle","High Income"))))</f>
        <v>Middle Income</v>
      </c>
      <c r="F235">
        <v>0</v>
      </c>
      <c r="G235" t="s">
        <v>19</v>
      </c>
      <c r="H235" t="s">
        <v>31</v>
      </c>
      <c r="I235" t="s">
        <v>32</v>
      </c>
      <c r="J235">
        <v>3</v>
      </c>
      <c r="K235" t="s">
        <v>33</v>
      </c>
      <c r="L235" t="s">
        <v>37</v>
      </c>
      <c r="M235">
        <v>31</v>
      </c>
      <c r="N235" t="s">
        <v>24</v>
      </c>
      <c r="O235" t="s">
        <v>55</v>
      </c>
      <c r="P235" s="2">
        <v>3940.23</v>
      </c>
      <c r="Q235" t="s">
        <v>26</v>
      </c>
      <c r="R235" s="1">
        <v>45287</v>
      </c>
      <c r="S235" s="1"/>
    </row>
    <row r="236" spans="1:19" x14ac:dyDescent="0.3">
      <c r="A236">
        <v>29298</v>
      </c>
      <c r="B236" t="s">
        <v>35</v>
      </c>
      <c r="C236" t="s">
        <v>18</v>
      </c>
      <c r="D236">
        <v>60000</v>
      </c>
      <c r="E236" t="str">
        <f>IF(Sales_Data[[#This Row],[Income]]&lt;=20000,"Low Income",IF(Sales_Data[[#This Row],[Income]]&lt;=40000,"Lower Middle",IF(Sales_Data[[#This Row],[Income]]&lt;=60000,"Middle Income",IF(Sales_Data[[#This Row],[Income]]&lt;=80000,"Upper Middle","High Income"))))</f>
        <v>Middle Income</v>
      </c>
      <c r="F236">
        <v>1</v>
      </c>
      <c r="G236" t="s">
        <v>27</v>
      </c>
      <c r="H236" t="s">
        <v>20</v>
      </c>
      <c r="I236" t="s">
        <v>21</v>
      </c>
      <c r="J236">
        <v>1</v>
      </c>
      <c r="K236" t="s">
        <v>36</v>
      </c>
      <c r="L236" t="s">
        <v>37</v>
      </c>
      <c r="M236">
        <v>46</v>
      </c>
      <c r="N236" t="s">
        <v>38</v>
      </c>
      <c r="O236" t="s">
        <v>39</v>
      </c>
      <c r="P236" s="2">
        <v>8718.74</v>
      </c>
      <c r="Q236" t="s">
        <v>51</v>
      </c>
      <c r="R236" s="1">
        <v>45095</v>
      </c>
      <c r="S236" s="1"/>
    </row>
    <row r="237" spans="1:19" x14ac:dyDescent="0.3">
      <c r="A237">
        <v>19299</v>
      </c>
      <c r="B237" t="s">
        <v>17</v>
      </c>
      <c r="C237" t="s">
        <v>18</v>
      </c>
      <c r="D237">
        <v>50000</v>
      </c>
      <c r="E237" t="str">
        <f>IF(Sales_Data[[#This Row],[Income]]&lt;=20000,"Low Income",IF(Sales_Data[[#This Row],[Income]]&lt;=40000,"Lower Middle",IF(Sales_Data[[#This Row],[Income]]&lt;=60000,"Middle Income",IF(Sales_Data[[#This Row],[Income]]&lt;=80000,"Upper Middle","High Income"))))</f>
        <v>Middle Income</v>
      </c>
      <c r="F237">
        <v>0</v>
      </c>
      <c r="G237" t="s">
        <v>61</v>
      </c>
      <c r="H237" t="s">
        <v>20</v>
      </c>
      <c r="I237" t="s">
        <v>21</v>
      </c>
      <c r="J237">
        <v>0</v>
      </c>
      <c r="K237" t="s">
        <v>22</v>
      </c>
      <c r="L237" t="s">
        <v>23</v>
      </c>
      <c r="M237">
        <v>36</v>
      </c>
      <c r="N237" t="s">
        <v>38</v>
      </c>
      <c r="O237" t="s">
        <v>39</v>
      </c>
      <c r="P237" s="2">
        <v>7534.46</v>
      </c>
      <c r="Q237" t="s">
        <v>26</v>
      </c>
      <c r="R237" s="1">
        <v>45291</v>
      </c>
      <c r="S237" s="1"/>
    </row>
    <row r="238" spans="1:19" x14ac:dyDescent="0.3">
      <c r="A238">
        <v>27696</v>
      </c>
      <c r="B238" t="s">
        <v>17</v>
      </c>
      <c r="C238" t="s">
        <v>17</v>
      </c>
      <c r="D238">
        <v>60000</v>
      </c>
      <c r="E238" t="str">
        <f>IF(Sales_Data[[#This Row],[Income]]&lt;=20000,"Low Income",IF(Sales_Data[[#This Row],[Income]]&lt;=40000,"Lower Middle",IF(Sales_Data[[#This Row],[Income]]&lt;=60000,"Middle Income",IF(Sales_Data[[#This Row],[Income]]&lt;=80000,"Upper Middle","High Income"))))</f>
        <v>Middle Income</v>
      </c>
      <c r="F238">
        <v>1</v>
      </c>
      <c r="G238" t="s">
        <v>19</v>
      </c>
      <c r="H238" t="s">
        <v>31</v>
      </c>
      <c r="I238" t="s">
        <v>21</v>
      </c>
      <c r="J238">
        <v>1</v>
      </c>
      <c r="K238" t="s">
        <v>36</v>
      </c>
      <c r="L238" t="s">
        <v>37</v>
      </c>
      <c r="M238">
        <v>43</v>
      </c>
      <c r="N238" t="s">
        <v>38</v>
      </c>
      <c r="O238" t="s">
        <v>47</v>
      </c>
      <c r="P238" s="2">
        <v>2267.9299999999998</v>
      </c>
      <c r="Q238" t="s">
        <v>58</v>
      </c>
      <c r="R238" s="1">
        <v>45131</v>
      </c>
      <c r="S238" s="1"/>
    </row>
    <row r="239" spans="1:19" x14ac:dyDescent="0.3">
      <c r="A239">
        <v>12666</v>
      </c>
      <c r="B239" t="s">
        <v>35</v>
      </c>
      <c r="C239" t="s">
        <v>17</v>
      </c>
      <c r="D239">
        <v>60000</v>
      </c>
      <c r="E239" t="str">
        <f>IF(Sales_Data[[#This Row],[Income]]&lt;=20000,"Low Income",IF(Sales_Data[[#This Row],[Income]]&lt;=40000,"Lower Middle",IF(Sales_Data[[#This Row],[Income]]&lt;=60000,"Middle Income",IF(Sales_Data[[#This Row],[Income]]&lt;=80000,"Upper Middle","High Income"))))</f>
        <v>Middle Income</v>
      </c>
      <c r="F239">
        <v>0</v>
      </c>
      <c r="G239" t="s">
        <v>19</v>
      </c>
      <c r="H239" t="s">
        <v>31</v>
      </c>
      <c r="I239" t="s">
        <v>32</v>
      </c>
      <c r="J239">
        <v>4</v>
      </c>
      <c r="K239" t="s">
        <v>33</v>
      </c>
      <c r="L239" t="s">
        <v>37</v>
      </c>
      <c r="M239">
        <v>31</v>
      </c>
      <c r="N239" t="s">
        <v>24</v>
      </c>
      <c r="O239" t="s">
        <v>49</v>
      </c>
      <c r="P239" s="2">
        <v>5626.04</v>
      </c>
      <c r="Q239" t="s">
        <v>30</v>
      </c>
      <c r="R239" s="1">
        <v>45001</v>
      </c>
      <c r="S239" s="1"/>
    </row>
    <row r="240" spans="1:19" x14ac:dyDescent="0.3">
      <c r="A240">
        <v>14164</v>
      </c>
      <c r="B240" t="s">
        <v>35</v>
      </c>
      <c r="C240" t="s">
        <v>18</v>
      </c>
      <c r="D240">
        <v>50000</v>
      </c>
      <c r="E240" t="str">
        <f>IF(Sales_Data[[#This Row],[Income]]&lt;=20000,"Low Income",IF(Sales_Data[[#This Row],[Income]]&lt;=40000,"Lower Middle",IF(Sales_Data[[#This Row],[Income]]&lt;=60000,"Middle Income",IF(Sales_Data[[#This Row],[Income]]&lt;=80000,"Upper Middle","High Income"))))</f>
        <v>Middle Income</v>
      </c>
      <c r="F240">
        <v>0</v>
      </c>
      <c r="G240" t="s">
        <v>61</v>
      </c>
      <c r="H240" t="s">
        <v>20</v>
      </c>
      <c r="I240" t="s">
        <v>21</v>
      </c>
      <c r="J240">
        <v>0</v>
      </c>
      <c r="K240" t="s">
        <v>22</v>
      </c>
      <c r="L240" t="s">
        <v>23</v>
      </c>
      <c r="M240">
        <v>36</v>
      </c>
      <c r="N240" t="s">
        <v>38</v>
      </c>
      <c r="O240" t="s">
        <v>54</v>
      </c>
      <c r="P240" s="2">
        <v>9832.58</v>
      </c>
      <c r="Q240" t="s">
        <v>51</v>
      </c>
      <c r="R240" s="1">
        <v>45080</v>
      </c>
      <c r="S240" s="1"/>
    </row>
    <row r="241" spans="1:19" x14ac:dyDescent="0.3">
      <c r="A241">
        <v>21039</v>
      </c>
      <c r="B241" t="s">
        <v>35</v>
      </c>
      <c r="C241" t="s">
        <v>18</v>
      </c>
      <c r="D241">
        <v>50000</v>
      </c>
      <c r="E241" t="str">
        <f>IF(Sales_Data[[#This Row],[Income]]&lt;=20000,"Low Income",IF(Sales_Data[[#This Row],[Income]]&lt;=40000,"Lower Middle",IF(Sales_Data[[#This Row],[Income]]&lt;=60000,"Middle Income",IF(Sales_Data[[#This Row],[Income]]&lt;=80000,"Upper Middle","High Income"))))</f>
        <v>Middle Income</v>
      </c>
      <c r="F241">
        <v>0</v>
      </c>
      <c r="G241" t="s">
        <v>61</v>
      </c>
      <c r="H241" t="s">
        <v>20</v>
      </c>
      <c r="I241" t="s">
        <v>32</v>
      </c>
      <c r="J241">
        <v>0</v>
      </c>
      <c r="K241" t="s">
        <v>22</v>
      </c>
      <c r="L241" t="s">
        <v>23</v>
      </c>
      <c r="M241">
        <v>37</v>
      </c>
      <c r="N241" t="s">
        <v>38</v>
      </c>
      <c r="O241" t="s">
        <v>41</v>
      </c>
      <c r="P241" s="2">
        <v>5187.74</v>
      </c>
      <c r="Q241" t="s">
        <v>30</v>
      </c>
      <c r="R241" s="1">
        <v>45011</v>
      </c>
      <c r="S241" s="1"/>
    </row>
    <row r="242" spans="1:19" x14ac:dyDescent="0.3">
      <c r="A242">
        <v>14312</v>
      </c>
      <c r="B242" t="s">
        <v>17</v>
      </c>
      <c r="C242" t="s">
        <v>18</v>
      </c>
      <c r="D242">
        <v>60000</v>
      </c>
      <c r="E242" t="str">
        <f>IF(Sales_Data[[#This Row],[Income]]&lt;=20000,"Low Income",IF(Sales_Data[[#This Row],[Income]]&lt;=40000,"Lower Middle",IF(Sales_Data[[#This Row],[Income]]&lt;=60000,"Middle Income",IF(Sales_Data[[#This Row],[Income]]&lt;=80000,"Upper Middle","High Income"))))</f>
        <v>Middle Income</v>
      </c>
      <c r="F242">
        <v>1</v>
      </c>
      <c r="G242" t="s">
        <v>27</v>
      </c>
      <c r="H242" t="s">
        <v>20</v>
      </c>
      <c r="I242" t="s">
        <v>21</v>
      </c>
      <c r="J242">
        <v>1</v>
      </c>
      <c r="K242" t="s">
        <v>36</v>
      </c>
      <c r="L242" t="s">
        <v>37</v>
      </c>
      <c r="M242">
        <v>45</v>
      </c>
      <c r="N242" t="s">
        <v>38</v>
      </c>
      <c r="O242" t="s">
        <v>41</v>
      </c>
      <c r="P242" s="2">
        <v>7566.32</v>
      </c>
      <c r="Q242" t="s">
        <v>30</v>
      </c>
      <c r="R242" s="1">
        <v>44987</v>
      </c>
      <c r="S242" s="1"/>
    </row>
    <row r="243" spans="1:19" x14ac:dyDescent="0.3">
      <c r="A243">
        <v>28319</v>
      </c>
      <c r="B243" t="s">
        <v>35</v>
      </c>
      <c r="C243" t="s">
        <v>18</v>
      </c>
      <c r="D243">
        <v>60000</v>
      </c>
      <c r="E243" t="str">
        <f>IF(Sales_Data[[#This Row],[Income]]&lt;=20000,"Low Income",IF(Sales_Data[[#This Row],[Income]]&lt;=40000,"Lower Middle",IF(Sales_Data[[#This Row],[Income]]&lt;=60000,"Middle Income",IF(Sales_Data[[#This Row],[Income]]&lt;=80000,"Upper Middle","High Income"))))</f>
        <v>Middle Income</v>
      </c>
      <c r="F243">
        <v>1</v>
      </c>
      <c r="G243" t="s">
        <v>27</v>
      </c>
      <c r="H243" t="s">
        <v>20</v>
      </c>
      <c r="I243" t="s">
        <v>32</v>
      </c>
      <c r="J243">
        <v>1</v>
      </c>
      <c r="K243" t="s">
        <v>22</v>
      </c>
      <c r="L243" t="s">
        <v>37</v>
      </c>
      <c r="M243">
        <v>46</v>
      </c>
      <c r="N243" t="s">
        <v>24</v>
      </c>
      <c r="O243" t="s">
        <v>49</v>
      </c>
      <c r="P243" s="2">
        <v>6483.4</v>
      </c>
      <c r="Q243" t="s">
        <v>51</v>
      </c>
      <c r="R243" s="1">
        <v>45103</v>
      </c>
      <c r="S243" s="1"/>
    </row>
    <row r="244" spans="1:19" x14ac:dyDescent="0.3">
      <c r="A244">
        <v>26663</v>
      </c>
      <c r="B244" t="s">
        <v>35</v>
      </c>
      <c r="C244" t="s">
        <v>18</v>
      </c>
      <c r="D244">
        <v>60000</v>
      </c>
      <c r="E244" t="str">
        <f>IF(Sales_Data[[#This Row],[Income]]&lt;=20000,"Low Income",IF(Sales_Data[[#This Row],[Income]]&lt;=40000,"Lower Middle",IF(Sales_Data[[#This Row],[Income]]&lt;=60000,"Middle Income",IF(Sales_Data[[#This Row],[Income]]&lt;=80000,"Upper Middle","High Income"))))</f>
        <v>Middle Income</v>
      </c>
      <c r="F244">
        <v>2</v>
      </c>
      <c r="G244" t="s">
        <v>19</v>
      </c>
      <c r="H244" t="s">
        <v>31</v>
      </c>
      <c r="I244" t="s">
        <v>32</v>
      </c>
      <c r="J244">
        <v>1</v>
      </c>
      <c r="K244" t="s">
        <v>22</v>
      </c>
      <c r="L244" t="s">
        <v>37</v>
      </c>
      <c r="M244">
        <v>39</v>
      </c>
      <c r="N244" t="s">
        <v>38</v>
      </c>
      <c r="O244" t="s">
        <v>47</v>
      </c>
      <c r="P244" s="2">
        <v>295.92</v>
      </c>
      <c r="Q244" t="s">
        <v>52</v>
      </c>
      <c r="R244" s="1">
        <v>44982</v>
      </c>
      <c r="S244" s="1"/>
    </row>
    <row r="245" spans="1:19" x14ac:dyDescent="0.3">
      <c r="A245">
        <v>21207</v>
      </c>
      <c r="B245" t="s">
        <v>17</v>
      </c>
      <c r="C245" t="s">
        <v>17</v>
      </c>
      <c r="D245">
        <v>60000</v>
      </c>
      <c r="E245" t="str">
        <f>IF(Sales_Data[[#This Row],[Income]]&lt;=20000,"Low Income",IF(Sales_Data[[#This Row],[Income]]&lt;=40000,"Lower Middle",IF(Sales_Data[[#This Row],[Income]]&lt;=60000,"Middle Income",IF(Sales_Data[[#This Row],[Income]]&lt;=80000,"Upper Middle","High Income"))))</f>
        <v>Middle Income</v>
      </c>
      <c r="F245">
        <v>1</v>
      </c>
      <c r="G245" t="s">
        <v>27</v>
      </c>
      <c r="H245" t="s">
        <v>20</v>
      </c>
      <c r="I245" t="s">
        <v>21</v>
      </c>
      <c r="J245">
        <v>1</v>
      </c>
      <c r="K245" t="s">
        <v>36</v>
      </c>
      <c r="L245" t="s">
        <v>37</v>
      </c>
      <c r="M245">
        <v>46</v>
      </c>
      <c r="N245" t="s">
        <v>24</v>
      </c>
      <c r="O245" t="s">
        <v>25</v>
      </c>
      <c r="P245" s="2">
        <v>7585.39</v>
      </c>
      <c r="Q245" t="s">
        <v>44</v>
      </c>
      <c r="R245" s="1">
        <v>44940</v>
      </c>
      <c r="S245" s="1"/>
    </row>
    <row r="246" spans="1:19" x14ac:dyDescent="0.3">
      <c r="A246">
        <v>17352</v>
      </c>
      <c r="B246" t="s">
        <v>17</v>
      </c>
      <c r="C246" t="s">
        <v>17</v>
      </c>
      <c r="D246">
        <v>50000</v>
      </c>
      <c r="E246" t="str">
        <f>IF(Sales_Data[[#This Row],[Income]]&lt;=20000,"Low Income",IF(Sales_Data[[#This Row],[Income]]&lt;=40000,"Lower Middle",IF(Sales_Data[[#This Row],[Income]]&lt;=60000,"Middle Income",IF(Sales_Data[[#This Row],[Income]]&lt;=80000,"Upper Middle","High Income"))))</f>
        <v>Middle Income</v>
      </c>
      <c r="F246">
        <v>2</v>
      </c>
      <c r="G246" t="s">
        <v>61</v>
      </c>
      <c r="H246" t="s">
        <v>46</v>
      </c>
      <c r="I246" t="s">
        <v>21</v>
      </c>
      <c r="J246">
        <v>1</v>
      </c>
      <c r="K246" t="s">
        <v>36</v>
      </c>
      <c r="L246" t="s">
        <v>37</v>
      </c>
      <c r="M246">
        <v>64</v>
      </c>
      <c r="N246" t="s">
        <v>38</v>
      </c>
      <c r="O246" t="s">
        <v>41</v>
      </c>
      <c r="P246" s="2">
        <v>2373.1799999999998</v>
      </c>
      <c r="Q246" t="s">
        <v>26</v>
      </c>
      <c r="R246" s="1">
        <v>45277</v>
      </c>
      <c r="S246" s="1"/>
    </row>
    <row r="247" spans="1:19" x14ac:dyDescent="0.3">
      <c r="A247">
        <v>22936</v>
      </c>
      <c r="B247" t="s">
        <v>35</v>
      </c>
      <c r="C247" t="s">
        <v>18</v>
      </c>
      <c r="D247">
        <v>60000</v>
      </c>
      <c r="E247" t="str">
        <f>IF(Sales_Data[[#This Row],[Income]]&lt;=20000,"Low Income",IF(Sales_Data[[#This Row],[Income]]&lt;=40000,"Lower Middle",IF(Sales_Data[[#This Row],[Income]]&lt;=60000,"Middle Income",IF(Sales_Data[[#This Row],[Income]]&lt;=80000,"Upper Middle","High Income"))))</f>
        <v>Middle Income</v>
      </c>
      <c r="F247">
        <v>1</v>
      </c>
      <c r="G247" t="s">
        <v>27</v>
      </c>
      <c r="H247" t="s">
        <v>20</v>
      </c>
      <c r="I247" t="s">
        <v>32</v>
      </c>
      <c r="J247">
        <v>1</v>
      </c>
      <c r="K247" t="s">
        <v>22</v>
      </c>
      <c r="L247" t="s">
        <v>37</v>
      </c>
      <c r="M247">
        <v>45</v>
      </c>
      <c r="N247" t="s">
        <v>38</v>
      </c>
      <c r="O247" t="s">
        <v>47</v>
      </c>
      <c r="P247" s="2">
        <v>1441.5</v>
      </c>
      <c r="Q247" t="s">
        <v>59</v>
      </c>
      <c r="R247" s="1">
        <v>45042</v>
      </c>
      <c r="S247" s="1"/>
    </row>
    <row r="248" spans="1:19" x14ac:dyDescent="0.3">
      <c r="A248">
        <v>17310</v>
      </c>
      <c r="B248" t="s">
        <v>17</v>
      </c>
      <c r="C248" t="s">
        <v>17</v>
      </c>
      <c r="D248">
        <v>60000</v>
      </c>
      <c r="E248" t="str">
        <f>IF(Sales_Data[[#This Row],[Income]]&lt;=20000,"Low Income",IF(Sales_Data[[#This Row],[Income]]&lt;=40000,"Lower Middle",IF(Sales_Data[[#This Row],[Income]]&lt;=60000,"Middle Income",IF(Sales_Data[[#This Row],[Income]]&lt;=80000,"Upper Middle","High Income"))))</f>
        <v>Middle Income</v>
      </c>
      <c r="F248">
        <v>1</v>
      </c>
      <c r="G248" t="s">
        <v>27</v>
      </c>
      <c r="H248" t="s">
        <v>20</v>
      </c>
      <c r="I248" t="s">
        <v>21</v>
      </c>
      <c r="J248">
        <v>1</v>
      </c>
      <c r="K248" t="s">
        <v>22</v>
      </c>
      <c r="L248" t="s">
        <v>37</v>
      </c>
      <c r="M248">
        <v>45</v>
      </c>
      <c r="N248" t="s">
        <v>24</v>
      </c>
      <c r="O248" t="s">
        <v>29</v>
      </c>
      <c r="P248" s="2">
        <v>9123.7999999999993</v>
      </c>
      <c r="Q248" t="s">
        <v>56</v>
      </c>
      <c r="R248" s="1">
        <v>45198</v>
      </c>
      <c r="S248" s="1"/>
    </row>
    <row r="249" spans="1:19" x14ac:dyDescent="0.3">
      <c r="A249">
        <v>18267</v>
      </c>
      <c r="B249" t="s">
        <v>17</v>
      </c>
      <c r="C249" t="s">
        <v>17</v>
      </c>
      <c r="D249">
        <v>60000</v>
      </c>
      <c r="E249" t="str">
        <f>IF(Sales_Data[[#This Row],[Income]]&lt;=20000,"Low Income",IF(Sales_Data[[#This Row],[Income]]&lt;=40000,"Lower Middle",IF(Sales_Data[[#This Row],[Income]]&lt;=60000,"Middle Income",IF(Sales_Data[[#This Row],[Income]]&lt;=80000,"Upper Middle","High Income"))))</f>
        <v>Middle Income</v>
      </c>
      <c r="F249">
        <v>3</v>
      </c>
      <c r="G249" t="s">
        <v>19</v>
      </c>
      <c r="H249" t="s">
        <v>31</v>
      </c>
      <c r="I249" t="s">
        <v>21</v>
      </c>
      <c r="J249">
        <v>2</v>
      </c>
      <c r="K249" t="s">
        <v>36</v>
      </c>
      <c r="L249" t="s">
        <v>37</v>
      </c>
      <c r="M249">
        <v>43</v>
      </c>
      <c r="N249" t="s">
        <v>24</v>
      </c>
      <c r="O249" t="s">
        <v>49</v>
      </c>
      <c r="P249" s="2">
        <v>1862.8</v>
      </c>
      <c r="Q249" t="s">
        <v>60</v>
      </c>
      <c r="R249" s="1">
        <v>45249</v>
      </c>
      <c r="S249" s="1"/>
    </row>
    <row r="250" spans="1:19" x14ac:dyDescent="0.3">
      <c r="A250">
        <v>16163</v>
      </c>
      <c r="B250" t="s">
        <v>35</v>
      </c>
      <c r="C250" t="s">
        <v>17</v>
      </c>
      <c r="D250">
        <v>60000</v>
      </c>
      <c r="E250" t="str">
        <f>IF(Sales_Data[[#This Row],[Income]]&lt;=20000,"Low Income",IF(Sales_Data[[#This Row],[Income]]&lt;=40000,"Lower Middle",IF(Sales_Data[[#This Row],[Income]]&lt;=60000,"Middle Income",IF(Sales_Data[[#This Row],[Income]]&lt;=80000,"Upper Middle","High Income"))))</f>
        <v>Middle Income</v>
      </c>
      <c r="F250">
        <v>2</v>
      </c>
      <c r="G250" t="s">
        <v>19</v>
      </c>
      <c r="H250" t="s">
        <v>31</v>
      </c>
      <c r="I250" t="s">
        <v>21</v>
      </c>
      <c r="J250">
        <v>1</v>
      </c>
      <c r="K250" t="s">
        <v>33</v>
      </c>
      <c r="L250" t="s">
        <v>37</v>
      </c>
      <c r="M250">
        <v>38</v>
      </c>
      <c r="N250" t="s">
        <v>24</v>
      </c>
      <c r="O250" t="s">
        <v>55</v>
      </c>
      <c r="P250" s="2">
        <v>9681.86</v>
      </c>
      <c r="Q250" t="s">
        <v>60</v>
      </c>
      <c r="R250" s="1">
        <v>45247</v>
      </c>
      <c r="S250" s="1"/>
    </row>
    <row r="251" spans="1:19" x14ac:dyDescent="0.3">
      <c r="A251">
        <v>11897</v>
      </c>
      <c r="B251" t="s">
        <v>35</v>
      </c>
      <c r="C251" t="s">
        <v>17</v>
      </c>
      <c r="D251">
        <v>60000</v>
      </c>
      <c r="E251" t="str">
        <f>IF(Sales_Data[[#This Row],[Income]]&lt;=20000,"Low Income",IF(Sales_Data[[#This Row],[Income]]&lt;=40000,"Lower Middle",IF(Sales_Data[[#This Row],[Income]]&lt;=60000,"Middle Income",IF(Sales_Data[[#This Row],[Income]]&lt;=80000,"Upper Middle","High Income"))))</f>
        <v>Middle Income</v>
      </c>
      <c r="F251">
        <v>2</v>
      </c>
      <c r="G251" t="s">
        <v>19</v>
      </c>
      <c r="H251" t="s">
        <v>31</v>
      </c>
      <c r="I251" t="s">
        <v>32</v>
      </c>
      <c r="J251">
        <v>1</v>
      </c>
      <c r="K251" t="s">
        <v>22</v>
      </c>
      <c r="L251" t="s">
        <v>37</v>
      </c>
      <c r="M251">
        <v>37</v>
      </c>
      <c r="N251" t="s">
        <v>24</v>
      </c>
      <c r="O251" t="s">
        <v>49</v>
      </c>
      <c r="P251" s="2">
        <v>5031.09</v>
      </c>
      <c r="Q251" t="s">
        <v>26</v>
      </c>
      <c r="R251" s="1">
        <v>45280</v>
      </c>
      <c r="S251" s="1"/>
    </row>
    <row r="252" spans="1:19" x14ac:dyDescent="0.3">
      <c r="A252">
        <v>11738</v>
      </c>
      <c r="B252" t="s">
        <v>17</v>
      </c>
      <c r="C252" t="s">
        <v>17</v>
      </c>
      <c r="D252">
        <v>60000</v>
      </c>
      <c r="E252" t="str">
        <f>IF(Sales_Data[[#This Row],[Income]]&lt;=20000,"Low Income",IF(Sales_Data[[#This Row],[Income]]&lt;=40000,"Lower Middle",IF(Sales_Data[[#This Row],[Income]]&lt;=60000,"Middle Income",IF(Sales_Data[[#This Row],[Income]]&lt;=80000,"Upper Middle","High Income"))))</f>
        <v>Middle Income</v>
      </c>
      <c r="F252">
        <v>4</v>
      </c>
      <c r="G252" t="s">
        <v>19</v>
      </c>
      <c r="H252" t="s">
        <v>31</v>
      </c>
      <c r="I252" t="s">
        <v>21</v>
      </c>
      <c r="J252">
        <v>0</v>
      </c>
      <c r="K252" t="s">
        <v>33</v>
      </c>
      <c r="L252" t="s">
        <v>63</v>
      </c>
      <c r="M252">
        <v>46</v>
      </c>
      <c r="N252" t="s">
        <v>38</v>
      </c>
      <c r="O252" t="s">
        <v>54</v>
      </c>
      <c r="P252" s="2">
        <v>7781.9</v>
      </c>
      <c r="Q252" t="s">
        <v>51</v>
      </c>
      <c r="R252" s="1">
        <v>45095</v>
      </c>
      <c r="S252" s="1"/>
    </row>
    <row r="253" spans="1:19" x14ac:dyDescent="0.3">
      <c r="A253">
        <v>24981</v>
      </c>
      <c r="B253" t="s">
        <v>17</v>
      </c>
      <c r="C253" t="s">
        <v>17</v>
      </c>
      <c r="D253">
        <v>60000</v>
      </c>
      <c r="E253" t="str">
        <f>IF(Sales_Data[[#This Row],[Income]]&lt;=20000,"Low Income",IF(Sales_Data[[#This Row],[Income]]&lt;=40000,"Lower Middle",IF(Sales_Data[[#This Row],[Income]]&lt;=60000,"Middle Income",IF(Sales_Data[[#This Row],[Income]]&lt;=80000,"Upper Middle","High Income"))))</f>
        <v>Middle Income</v>
      </c>
      <c r="F253">
        <v>2</v>
      </c>
      <c r="G253" t="s">
        <v>27</v>
      </c>
      <c r="H253" t="s">
        <v>31</v>
      </c>
      <c r="I253" t="s">
        <v>21</v>
      </c>
      <c r="J253">
        <v>2</v>
      </c>
      <c r="K253" t="s">
        <v>53</v>
      </c>
      <c r="L253" t="s">
        <v>63</v>
      </c>
      <c r="M253">
        <v>56</v>
      </c>
      <c r="N253" t="s">
        <v>24</v>
      </c>
      <c r="O253" t="s">
        <v>55</v>
      </c>
      <c r="P253" s="2">
        <v>5040.1499999999996</v>
      </c>
      <c r="Q253" t="s">
        <v>57</v>
      </c>
      <c r="R253" s="1">
        <v>45214</v>
      </c>
      <c r="S253" s="1"/>
    </row>
    <row r="254" spans="1:19" x14ac:dyDescent="0.3">
      <c r="A254">
        <v>20678</v>
      </c>
      <c r="B254" t="s">
        <v>35</v>
      </c>
      <c r="C254" t="s">
        <v>18</v>
      </c>
      <c r="D254">
        <v>60000</v>
      </c>
      <c r="E254" t="str">
        <f>IF(Sales_Data[[#This Row],[Income]]&lt;=20000,"Low Income",IF(Sales_Data[[#This Row],[Income]]&lt;=40000,"Lower Middle",IF(Sales_Data[[#This Row],[Income]]&lt;=60000,"Middle Income",IF(Sales_Data[[#This Row],[Income]]&lt;=80000,"Upper Middle","High Income"))))</f>
        <v>Middle Income</v>
      </c>
      <c r="F254">
        <v>3</v>
      </c>
      <c r="G254" t="s">
        <v>19</v>
      </c>
      <c r="H254" t="s">
        <v>20</v>
      </c>
      <c r="I254" t="s">
        <v>21</v>
      </c>
      <c r="J254">
        <v>1</v>
      </c>
      <c r="K254" t="s">
        <v>33</v>
      </c>
      <c r="L254" t="s">
        <v>63</v>
      </c>
      <c r="M254">
        <v>40</v>
      </c>
      <c r="N254" t="s">
        <v>24</v>
      </c>
      <c r="O254" t="s">
        <v>25</v>
      </c>
      <c r="P254" s="2">
        <v>836.19</v>
      </c>
      <c r="Q254" t="s">
        <v>51</v>
      </c>
      <c r="R254" s="1">
        <v>45079</v>
      </c>
      <c r="S254" s="1"/>
    </row>
    <row r="255" spans="1:19" x14ac:dyDescent="0.3">
      <c r="A255">
        <v>15559</v>
      </c>
      <c r="B255" t="s">
        <v>17</v>
      </c>
      <c r="C255" t="s">
        <v>17</v>
      </c>
      <c r="D255">
        <v>60000</v>
      </c>
      <c r="E255" t="str">
        <f>IF(Sales_Data[[#This Row],[Income]]&lt;=20000,"Low Income",IF(Sales_Data[[#This Row],[Income]]&lt;=40000,"Lower Middle",IF(Sales_Data[[#This Row],[Income]]&lt;=60000,"Middle Income",IF(Sales_Data[[#This Row],[Income]]&lt;=80000,"Upper Middle","High Income"))))</f>
        <v>Middle Income</v>
      </c>
      <c r="F255">
        <v>5</v>
      </c>
      <c r="G255" t="s">
        <v>19</v>
      </c>
      <c r="H255" t="s">
        <v>31</v>
      </c>
      <c r="I255" t="s">
        <v>21</v>
      </c>
      <c r="J255">
        <v>1</v>
      </c>
      <c r="K255" t="s">
        <v>33</v>
      </c>
      <c r="L255" t="s">
        <v>63</v>
      </c>
      <c r="M255">
        <v>47</v>
      </c>
      <c r="N255" t="s">
        <v>38</v>
      </c>
      <c r="O255" t="s">
        <v>47</v>
      </c>
      <c r="P255" s="2">
        <v>6623.49</v>
      </c>
      <c r="Q255" t="s">
        <v>51</v>
      </c>
      <c r="R255" s="1">
        <v>45089</v>
      </c>
      <c r="S255" s="1"/>
    </row>
    <row r="256" spans="1:19" x14ac:dyDescent="0.3">
      <c r="A256">
        <v>19235</v>
      </c>
      <c r="B256" t="s">
        <v>17</v>
      </c>
      <c r="C256" t="s">
        <v>18</v>
      </c>
      <c r="D256">
        <v>50000</v>
      </c>
      <c r="E256" t="str">
        <f>IF(Sales_Data[[#This Row],[Income]]&lt;=20000,"Low Income",IF(Sales_Data[[#This Row],[Income]]&lt;=40000,"Lower Middle",IF(Sales_Data[[#This Row],[Income]]&lt;=60000,"Middle Income",IF(Sales_Data[[#This Row],[Income]]&lt;=80000,"Upper Middle","High Income"))))</f>
        <v>Middle Income</v>
      </c>
      <c r="F256">
        <v>0</v>
      </c>
      <c r="G256" t="s">
        <v>61</v>
      </c>
      <c r="H256" t="s">
        <v>20</v>
      </c>
      <c r="I256" t="s">
        <v>21</v>
      </c>
      <c r="J256">
        <v>0</v>
      </c>
      <c r="K256" t="s">
        <v>22</v>
      </c>
      <c r="L256" t="s">
        <v>63</v>
      </c>
      <c r="M256">
        <v>34</v>
      </c>
      <c r="N256" t="s">
        <v>24</v>
      </c>
      <c r="O256" t="s">
        <v>49</v>
      </c>
      <c r="P256" s="2">
        <v>417.3</v>
      </c>
      <c r="Q256" t="s">
        <v>30</v>
      </c>
      <c r="R256" s="1">
        <v>45001</v>
      </c>
      <c r="S256" s="1"/>
    </row>
    <row r="257" spans="1:19" x14ac:dyDescent="0.3">
      <c r="A257">
        <v>16337</v>
      </c>
      <c r="B257" t="s">
        <v>17</v>
      </c>
      <c r="C257" t="s">
        <v>17</v>
      </c>
      <c r="D257">
        <v>60000</v>
      </c>
      <c r="E257" t="str">
        <f>IF(Sales_Data[[#This Row],[Income]]&lt;=20000,"Low Income",IF(Sales_Data[[#This Row],[Income]]&lt;=40000,"Lower Middle",IF(Sales_Data[[#This Row],[Income]]&lt;=60000,"Middle Income",IF(Sales_Data[[#This Row],[Income]]&lt;=80000,"Upper Middle","High Income"))))</f>
        <v>Middle Income</v>
      </c>
      <c r="F257">
        <v>0</v>
      </c>
      <c r="G257" t="s">
        <v>27</v>
      </c>
      <c r="H257" t="s">
        <v>20</v>
      </c>
      <c r="I257" t="s">
        <v>32</v>
      </c>
      <c r="J257">
        <v>2</v>
      </c>
      <c r="K257" t="s">
        <v>43</v>
      </c>
      <c r="L257" t="s">
        <v>63</v>
      </c>
      <c r="M257">
        <v>29</v>
      </c>
      <c r="N257" t="s">
        <v>38</v>
      </c>
      <c r="O257" t="s">
        <v>47</v>
      </c>
      <c r="P257" s="2">
        <v>6259.77</v>
      </c>
      <c r="Q257" t="s">
        <v>58</v>
      </c>
      <c r="R257" s="1">
        <v>45120</v>
      </c>
      <c r="S257" s="1"/>
    </row>
    <row r="258" spans="1:19" x14ac:dyDescent="0.3">
      <c r="A258">
        <v>18052</v>
      </c>
      <c r="B258" t="s">
        <v>17</v>
      </c>
      <c r="C258" t="s">
        <v>18</v>
      </c>
      <c r="D258">
        <v>60000</v>
      </c>
      <c r="E258" t="str">
        <f>IF(Sales_Data[[#This Row],[Income]]&lt;=20000,"Low Income",IF(Sales_Data[[#This Row],[Income]]&lt;=40000,"Lower Middle",IF(Sales_Data[[#This Row],[Income]]&lt;=60000,"Middle Income",IF(Sales_Data[[#This Row],[Income]]&lt;=80000,"Upper Middle","High Income"))))</f>
        <v>Middle Income</v>
      </c>
      <c r="F258">
        <v>1</v>
      </c>
      <c r="G258" t="s">
        <v>27</v>
      </c>
      <c r="H258" t="s">
        <v>20</v>
      </c>
      <c r="I258" t="s">
        <v>21</v>
      </c>
      <c r="J258">
        <v>1</v>
      </c>
      <c r="K258" t="s">
        <v>22</v>
      </c>
      <c r="L258" t="s">
        <v>63</v>
      </c>
      <c r="M258">
        <v>45</v>
      </c>
      <c r="N258" t="s">
        <v>38</v>
      </c>
      <c r="O258" t="s">
        <v>39</v>
      </c>
      <c r="P258" s="2">
        <v>770.56</v>
      </c>
      <c r="Q258" t="s">
        <v>58</v>
      </c>
      <c r="R258" s="1">
        <v>45110</v>
      </c>
      <c r="S258" s="1"/>
    </row>
    <row r="259" spans="1:19" x14ac:dyDescent="0.3">
      <c r="A259">
        <v>13353</v>
      </c>
      <c r="B259" t="s">
        <v>35</v>
      </c>
      <c r="C259" t="s">
        <v>18</v>
      </c>
      <c r="D259">
        <v>60000</v>
      </c>
      <c r="E259" t="str">
        <f>IF(Sales_Data[[#This Row],[Income]]&lt;=20000,"Low Income",IF(Sales_Data[[#This Row],[Income]]&lt;=40000,"Lower Middle",IF(Sales_Data[[#This Row],[Income]]&lt;=60000,"Middle Income",IF(Sales_Data[[#This Row],[Income]]&lt;=80000,"Upper Middle","High Income"))))</f>
        <v>Middle Income</v>
      </c>
      <c r="F259">
        <v>4</v>
      </c>
      <c r="G259" t="s">
        <v>61</v>
      </c>
      <c r="H259" t="s">
        <v>46</v>
      </c>
      <c r="I259" t="s">
        <v>21</v>
      </c>
      <c r="J259">
        <v>2</v>
      </c>
      <c r="K259" t="s">
        <v>53</v>
      </c>
      <c r="L259" t="s">
        <v>63</v>
      </c>
      <c r="M259">
        <v>61</v>
      </c>
      <c r="N259" t="s">
        <v>24</v>
      </c>
      <c r="O259" t="s">
        <v>34</v>
      </c>
      <c r="P259" s="2">
        <v>7768.28</v>
      </c>
      <c r="Q259" t="s">
        <v>58</v>
      </c>
      <c r="R259" s="1">
        <v>45120</v>
      </c>
      <c r="S259" s="1"/>
    </row>
    <row r="260" spans="1:19" x14ac:dyDescent="0.3">
      <c r="A260">
        <v>22219</v>
      </c>
      <c r="B260" t="s">
        <v>17</v>
      </c>
      <c r="C260" t="s">
        <v>18</v>
      </c>
      <c r="D260">
        <v>60000</v>
      </c>
      <c r="E260" t="str">
        <f>IF(Sales_Data[[#This Row],[Income]]&lt;=20000,"Low Income",IF(Sales_Data[[#This Row],[Income]]&lt;=40000,"Lower Middle",IF(Sales_Data[[#This Row],[Income]]&lt;=60000,"Middle Income",IF(Sales_Data[[#This Row],[Income]]&lt;=80000,"Upper Middle","High Income"))))</f>
        <v>Middle Income</v>
      </c>
      <c r="F260">
        <v>2</v>
      </c>
      <c r="G260" t="s">
        <v>45</v>
      </c>
      <c r="H260" t="s">
        <v>31</v>
      </c>
      <c r="I260" t="s">
        <v>21</v>
      </c>
      <c r="J260">
        <v>2</v>
      </c>
      <c r="K260" t="s">
        <v>36</v>
      </c>
      <c r="L260" t="s">
        <v>63</v>
      </c>
      <c r="M260">
        <v>49</v>
      </c>
      <c r="N260" t="s">
        <v>38</v>
      </c>
      <c r="O260" t="s">
        <v>54</v>
      </c>
      <c r="P260" s="2">
        <v>9482.5499999999993</v>
      </c>
      <c r="Q260" t="s">
        <v>60</v>
      </c>
      <c r="R260" s="1">
        <v>45257</v>
      </c>
      <c r="S260" s="1"/>
    </row>
    <row r="261" spans="1:19" x14ac:dyDescent="0.3">
      <c r="A261">
        <v>17269</v>
      </c>
      <c r="B261" t="s">
        <v>35</v>
      </c>
      <c r="C261" t="s">
        <v>17</v>
      </c>
      <c r="D261">
        <v>60000</v>
      </c>
      <c r="E261" t="str">
        <f>IF(Sales_Data[[#This Row],[Income]]&lt;=20000,"Low Income",IF(Sales_Data[[#This Row],[Income]]&lt;=40000,"Lower Middle",IF(Sales_Data[[#This Row],[Income]]&lt;=60000,"Middle Income",IF(Sales_Data[[#This Row],[Income]]&lt;=80000,"Upper Middle","High Income"))))</f>
        <v>Middle Income</v>
      </c>
      <c r="F261">
        <v>3</v>
      </c>
      <c r="G261" t="s">
        <v>19</v>
      </c>
      <c r="H261" t="s">
        <v>31</v>
      </c>
      <c r="I261" t="s">
        <v>32</v>
      </c>
      <c r="J261">
        <v>0</v>
      </c>
      <c r="K261" t="s">
        <v>22</v>
      </c>
      <c r="L261" t="s">
        <v>63</v>
      </c>
      <c r="M261">
        <v>47</v>
      </c>
      <c r="N261" t="s">
        <v>24</v>
      </c>
      <c r="O261" t="s">
        <v>29</v>
      </c>
      <c r="P261" s="2">
        <v>5391.66</v>
      </c>
      <c r="Q261" t="s">
        <v>48</v>
      </c>
      <c r="R261" s="1">
        <v>45154</v>
      </c>
      <c r="S261" s="1"/>
    </row>
    <row r="262" spans="1:19" x14ac:dyDescent="0.3">
      <c r="A262">
        <v>19413</v>
      </c>
      <c r="B262" t="s">
        <v>35</v>
      </c>
      <c r="C262" t="s">
        <v>17</v>
      </c>
      <c r="D262">
        <v>60000</v>
      </c>
      <c r="E262" t="str">
        <f>IF(Sales_Data[[#This Row],[Income]]&lt;=20000,"Low Income",IF(Sales_Data[[#This Row],[Income]]&lt;=40000,"Lower Middle",IF(Sales_Data[[#This Row],[Income]]&lt;=60000,"Middle Income",IF(Sales_Data[[#This Row],[Income]]&lt;=80000,"Upper Middle","High Income"))))</f>
        <v>Middle Income</v>
      </c>
      <c r="F262">
        <v>3</v>
      </c>
      <c r="G262" t="s">
        <v>19</v>
      </c>
      <c r="H262" t="s">
        <v>31</v>
      </c>
      <c r="I262" t="s">
        <v>32</v>
      </c>
      <c r="J262">
        <v>1</v>
      </c>
      <c r="K262" t="s">
        <v>22</v>
      </c>
      <c r="L262" t="s">
        <v>63</v>
      </c>
      <c r="M262">
        <v>47</v>
      </c>
      <c r="N262" t="s">
        <v>24</v>
      </c>
      <c r="O262" t="s">
        <v>49</v>
      </c>
      <c r="P262" s="2">
        <v>3385.46</v>
      </c>
      <c r="Q262" t="s">
        <v>60</v>
      </c>
      <c r="R262" s="1">
        <v>45235</v>
      </c>
      <c r="S262" s="1"/>
    </row>
    <row r="263" spans="1:19" x14ac:dyDescent="0.3">
      <c r="A263">
        <v>16791</v>
      </c>
      <c r="B263" t="s">
        <v>35</v>
      </c>
      <c r="C263" t="s">
        <v>17</v>
      </c>
      <c r="D263">
        <v>60000</v>
      </c>
      <c r="E263" t="str">
        <f>IF(Sales_Data[[#This Row],[Income]]&lt;=20000,"Low Income",IF(Sales_Data[[#This Row],[Income]]&lt;=40000,"Lower Middle",IF(Sales_Data[[#This Row],[Income]]&lt;=60000,"Middle Income",IF(Sales_Data[[#This Row],[Income]]&lt;=80000,"Upper Middle","High Income"))))</f>
        <v>Middle Income</v>
      </c>
      <c r="F263">
        <v>5</v>
      </c>
      <c r="G263" t="s">
        <v>19</v>
      </c>
      <c r="H263" t="s">
        <v>46</v>
      </c>
      <c r="I263" t="s">
        <v>21</v>
      </c>
      <c r="J263">
        <v>3</v>
      </c>
      <c r="K263" t="s">
        <v>53</v>
      </c>
      <c r="L263" t="s">
        <v>63</v>
      </c>
      <c r="M263">
        <v>59</v>
      </c>
      <c r="N263" t="s">
        <v>38</v>
      </c>
      <c r="O263" t="s">
        <v>62</v>
      </c>
      <c r="P263" s="2">
        <v>2414.42</v>
      </c>
      <c r="Q263" t="s">
        <v>59</v>
      </c>
      <c r="R263" s="1">
        <v>45034</v>
      </c>
      <c r="S263" s="1"/>
    </row>
    <row r="264" spans="1:19" x14ac:dyDescent="0.3">
      <c r="A264">
        <v>11641</v>
      </c>
      <c r="B264" t="s">
        <v>17</v>
      </c>
      <c r="C264" t="s">
        <v>17</v>
      </c>
      <c r="D264">
        <v>50000</v>
      </c>
      <c r="E264" t="str">
        <f>IF(Sales_Data[[#This Row],[Income]]&lt;=20000,"Low Income",IF(Sales_Data[[#This Row],[Income]]&lt;=40000,"Lower Middle",IF(Sales_Data[[#This Row],[Income]]&lt;=60000,"Middle Income",IF(Sales_Data[[#This Row],[Income]]&lt;=80000,"Upper Middle","High Income"))))</f>
        <v>Middle Income</v>
      </c>
      <c r="F264">
        <v>1</v>
      </c>
      <c r="G264" t="s">
        <v>19</v>
      </c>
      <c r="H264" t="s">
        <v>20</v>
      </c>
      <c r="I264" t="s">
        <v>21</v>
      </c>
      <c r="J264">
        <v>0</v>
      </c>
      <c r="K264" t="s">
        <v>22</v>
      </c>
      <c r="L264" t="s">
        <v>63</v>
      </c>
      <c r="M264">
        <v>36</v>
      </c>
      <c r="N264" t="s">
        <v>38</v>
      </c>
      <c r="O264" t="s">
        <v>47</v>
      </c>
      <c r="P264" s="2">
        <v>9021.15</v>
      </c>
      <c r="Q264" t="s">
        <v>59</v>
      </c>
      <c r="R264" s="1">
        <v>45023</v>
      </c>
      <c r="S264" s="1"/>
    </row>
    <row r="265" spans="1:19" x14ac:dyDescent="0.3">
      <c r="A265">
        <v>13233</v>
      </c>
      <c r="B265" t="s">
        <v>17</v>
      </c>
      <c r="C265" t="s">
        <v>17</v>
      </c>
      <c r="D265">
        <v>60000</v>
      </c>
      <c r="E265" t="str">
        <f>IF(Sales_Data[[#This Row],[Income]]&lt;=20000,"Low Income",IF(Sales_Data[[#This Row],[Income]]&lt;=40000,"Lower Middle",IF(Sales_Data[[#This Row],[Income]]&lt;=60000,"Middle Income",IF(Sales_Data[[#This Row],[Income]]&lt;=80000,"Upper Middle","High Income"))))</f>
        <v>Middle Income</v>
      </c>
      <c r="F265">
        <v>2</v>
      </c>
      <c r="G265" t="s">
        <v>27</v>
      </c>
      <c r="H265" t="s">
        <v>31</v>
      </c>
      <c r="I265" t="s">
        <v>21</v>
      </c>
      <c r="J265">
        <v>1</v>
      </c>
      <c r="K265" t="s">
        <v>53</v>
      </c>
      <c r="L265" t="s">
        <v>63</v>
      </c>
      <c r="M265">
        <v>57</v>
      </c>
      <c r="N265" t="s">
        <v>24</v>
      </c>
      <c r="O265" t="s">
        <v>25</v>
      </c>
      <c r="P265" s="2">
        <v>4715.82</v>
      </c>
      <c r="Q265" t="s">
        <v>44</v>
      </c>
      <c r="R265" s="1">
        <v>44943</v>
      </c>
      <c r="S265" s="1"/>
    </row>
    <row r="266" spans="1:19" x14ac:dyDescent="0.3">
      <c r="A266">
        <v>25909</v>
      </c>
      <c r="B266" t="s">
        <v>17</v>
      </c>
      <c r="C266" t="s">
        <v>17</v>
      </c>
      <c r="D266">
        <v>60000</v>
      </c>
      <c r="E266" t="str">
        <f>IF(Sales_Data[[#This Row],[Income]]&lt;=20000,"Low Income",IF(Sales_Data[[#This Row],[Income]]&lt;=40000,"Lower Middle",IF(Sales_Data[[#This Row],[Income]]&lt;=60000,"Middle Income",IF(Sales_Data[[#This Row],[Income]]&lt;=80000,"Upper Middle","High Income"))))</f>
        <v>Middle Income</v>
      </c>
      <c r="F266">
        <v>0</v>
      </c>
      <c r="G266" t="s">
        <v>27</v>
      </c>
      <c r="H266" t="s">
        <v>20</v>
      </c>
      <c r="I266" t="s">
        <v>21</v>
      </c>
      <c r="J266">
        <v>1</v>
      </c>
      <c r="K266" t="s">
        <v>36</v>
      </c>
      <c r="L266" t="s">
        <v>63</v>
      </c>
      <c r="M266">
        <v>27</v>
      </c>
      <c r="N266" t="s">
        <v>24</v>
      </c>
      <c r="O266" t="s">
        <v>55</v>
      </c>
      <c r="P266" s="2">
        <v>1506.25</v>
      </c>
      <c r="Q266" t="s">
        <v>48</v>
      </c>
      <c r="R266" s="1">
        <v>45150</v>
      </c>
      <c r="S266" s="1"/>
    </row>
    <row r="267" spans="1:19" x14ac:dyDescent="0.3">
      <c r="A267">
        <v>29143</v>
      </c>
      <c r="B267" t="s">
        <v>35</v>
      </c>
      <c r="C267" t="s">
        <v>18</v>
      </c>
      <c r="D267">
        <v>60000</v>
      </c>
      <c r="E267" t="str">
        <f>IF(Sales_Data[[#This Row],[Income]]&lt;=20000,"Low Income",IF(Sales_Data[[#This Row],[Income]]&lt;=40000,"Lower Middle",IF(Sales_Data[[#This Row],[Income]]&lt;=60000,"Middle Income",IF(Sales_Data[[#This Row],[Income]]&lt;=80000,"Upper Middle","High Income"))))</f>
        <v>Middle Income</v>
      </c>
      <c r="F267">
        <v>1</v>
      </c>
      <c r="G267" t="s">
        <v>19</v>
      </c>
      <c r="H267" t="s">
        <v>31</v>
      </c>
      <c r="I267" t="s">
        <v>32</v>
      </c>
      <c r="J267">
        <v>1</v>
      </c>
      <c r="K267" t="s">
        <v>22</v>
      </c>
      <c r="L267" t="s">
        <v>63</v>
      </c>
      <c r="M267">
        <v>44</v>
      </c>
      <c r="N267" t="s">
        <v>24</v>
      </c>
      <c r="O267" t="s">
        <v>29</v>
      </c>
      <c r="P267" s="2">
        <v>3549.37</v>
      </c>
      <c r="Q267" t="s">
        <v>58</v>
      </c>
      <c r="R267" s="1">
        <v>45130</v>
      </c>
      <c r="S267" s="1"/>
    </row>
    <row r="268" spans="1:19" x14ac:dyDescent="0.3">
      <c r="A268">
        <v>24941</v>
      </c>
      <c r="B268" t="s">
        <v>17</v>
      </c>
      <c r="C268" t="s">
        <v>17</v>
      </c>
      <c r="D268">
        <v>60000</v>
      </c>
      <c r="E268" t="str">
        <f>IF(Sales_Data[[#This Row],[Income]]&lt;=20000,"Low Income",IF(Sales_Data[[#This Row],[Income]]&lt;=40000,"Lower Middle",IF(Sales_Data[[#This Row],[Income]]&lt;=60000,"Middle Income",IF(Sales_Data[[#This Row],[Income]]&lt;=80000,"Upper Middle","High Income"))))</f>
        <v>Middle Income</v>
      </c>
      <c r="F268">
        <v>3</v>
      </c>
      <c r="G268" t="s">
        <v>19</v>
      </c>
      <c r="H268" t="s">
        <v>46</v>
      </c>
      <c r="I268" t="s">
        <v>21</v>
      </c>
      <c r="J268">
        <v>2</v>
      </c>
      <c r="K268" t="s">
        <v>53</v>
      </c>
      <c r="L268" t="s">
        <v>63</v>
      </c>
      <c r="M268">
        <v>66</v>
      </c>
      <c r="N268" t="s">
        <v>24</v>
      </c>
      <c r="O268" t="s">
        <v>55</v>
      </c>
      <c r="P268" s="2">
        <v>8852.1299999999992</v>
      </c>
      <c r="Q268" t="s">
        <v>40</v>
      </c>
      <c r="R268" s="1">
        <v>45057</v>
      </c>
      <c r="S268" s="1"/>
    </row>
    <row r="269" spans="1:19" x14ac:dyDescent="0.3">
      <c r="A269">
        <v>23893</v>
      </c>
      <c r="B269" t="s">
        <v>17</v>
      </c>
      <c r="C269" t="s">
        <v>17</v>
      </c>
      <c r="D269">
        <v>50000</v>
      </c>
      <c r="E269" t="str">
        <f>IF(Sales_Data[[#This Row],[Income]]&lt;=20000,"Low Income",IF(Sales_Data[[#This Row],[Income]]&lt;=40000,"Lower Middle",IF(Sales_Data[[#This Row],[Income]]&lt;=60000,"Middle Income",IF(Sales_Data[[#This Row],[Income]]&lt;=80000,"Upper Middle","High Income"))))</f>
        <v>Middle Income</v>
      </c>
      <c r="F269">
        <v>3</v>
      </c>
      <c r="G269" t="s">
        <v>19</v>
      </c>
      <c r="H269" t="s">
        <v>20</v>
      </c>
      <c r="I269" t="s">
        <v>21</v>
      </c>
      <c r="J269">
        <v>3</v>
      </c>
      <c r="K269" t="s">
        <v>53</v>
      </c>
      <c r="L269" t="s">
        <v>63</v>
      </c>
      <c r="M269">
        <v>41</v>
      </c>
      <c r="N269" t="s">
        <v>38</v>
      </c>
      <c r="O269" t="s">
        <v>62</v>
      </c>
      <c r="P269" s="2">
        <v>4668.2700000000004</v>
      </c>
      <c r="Q269" t="s">
        <v>30</v>
      </c>
      <c r="R269" s="1">
        <v>44998</v>
      </c>
      <c r="S269" s="1"/>
    </row>
    <row r="270" spans="1:19" x14ac:dyDescent="0.3">
      <c r="A270">
        <v>25375</v>
      </c>
      <c r="B270" t="s">
        <v>17</v>
      </c>
      <c r="C270" t="s">
        <v>17</v>
      </c>
      <c r="D270">
        <v>50000</v>
      </c>
      <c r="E270" t="str">
        <f>IF(Sales_Data[[#This Row],[Income]]&lt;=20000,"Low Income",IF(Sales_Data[[#This Row],[Income]]&lt;=40000,"Lower Middle",IF(Sales_Data[[#This Row],[Income]]&lt;=60000,"Middle Income",IF(Sales_Data[[#This Row],[Income]]&lt;=80000,"Upper Middle","High Income"))))</f>
        <v>Middle Income</v>
      </c>
      <c r="F270">
        <v>1</v>
      </c>
      <c r="G270" t="s">
        <v>61</v>
      </c>
      <c r="H270" t="s">
        <v>20</v>
      </c>
      <c r="I270" t="s">
        <v>21</v>
      </c>
      <c r="J270">
        <v>0</v>
      </c>
      <c r="K270" t="s">
        <v>43</v>
      </c>
      <c r="L270" t="s">
        <v>63</v>
      </c>
      <c r="M270">
        <v>34</v>
      </c>
      <c r="N270" t="s">
        <v>38</v>
      </c>
      <c r="O270" t="s">
        <v>39</v>
      </c>
      <c r="P270" s="2">
        <v>2265.71</v>
      </c>
      <c r="Q270" t="s">
        <v>59</v>
      </c>
      <c r="R270" s="1">
        <v>45031</v>
      </c>
      <c r="S270" s="1"/>
    </row>
    <row r="271" spans="1:19" x14ac:dyDescent="0.3">
      <c r="A271">
        <v>19758</v>
      </c>
      <c r="B271" t="s">
        <v>35</v>
      </c>
      <c r="C271" t="s">
        <v>17</v>
      </c>
      <c r="D271">
        <v>60000</v>
      </c>
      <c r="E271" t="str">
        <f>IF(Sales_Data[[#This Row],[Income]]&lt;=20000,"Low Income",IF(Sales_Data[[#This Row],[Income]]&lt;=40000,"Lower Middle",IF(Sales_Data[[#This Row],[Income]]&lt;=60000,"Middle Income",IF(Sales_Data[[#This Row],[Income]]&lt;=80000,"Upper Middle","High Income"))))</f>
        <v>Middle Income</v>
      </c>
      <c r="F271">
        <v>0</v>
      </c>
      <c r="G271" t="s">
        <v>27</v>
      </c>
      <c r="H271" t="s">
        <v>20</v>
      </c>
      <c r="I271" t="s">
        <v>32</v>
      </c>
      <c r="J271">
        <v>2</v>
      </c>
      <c r="K271" t="s">
        <v>43</v>
      </c>
      <c r="L271" t="s">
        <v>63</v>
      </c>
      <c r="M271">
        <v>29</v>
      </c>
      <c r="N271" t="s">
        <v>24</v>
      </c>
      <c r="O271" t="s">
        <v>49</v>
      </c>
      <c r="P271" s="2">
        <v>8823.7800000000007</v>
      </c>
      <c r="Q271" t="s">
        <v>60</v>
      </c>
      <c r="R271" s="1">
        <v>45240</v>
      </c>
      <c r="S271" s="1"/>
    </row>
    <row r="272" spans="1:19" x14ac:dyDescent="0.3">
      <c r="A272">
        <v>15529</v>
      </c>
      <c r="B272" t="s">
        <v>17</v>
      </c>
      <c r="C272" t="s">
        <v>17</v>
      </c>
      <c r="D272">
        <v>60000</v>
      </c>
      <c r="E272" t="str">
        <f>IF(Sales_Data[[#This Row],[Income]]&lt;=20000,"Low Income",IF(Sales_Data[[#This Row],[Income]]&lt;=40000,"Lower Middle",IF(Sales_Data[[#This Row],[Income]]&lt;=60000,"Middle Income",IF(Sales_Data[[#This Row],[Income]]&lt;=80000,"Upper Middle","High Income"))))</f>
        <v>Middle Income</v>
      </c>
      <c r="F272">
        <v>4</v>
      </c>
      <c r="G272" t="s">
        <v>19</v>
      </c>
      <c r="H272" t="s">
        <v>31</v>
      </c>
      <c r="I272" t="s">
        <v>21</v>
      </c>
      <c r="J272">
        <v>2</v>
      </c>
      <c r="K272" t="s">
        <v>33</v>
      </c>
      <c r="L272" t="s">
        <v>63</v>
      </c>
      <c r="M272">
        <v>43</v>
      </c>
      <c r="N272" t="s">
        <v>24</v>
      </c>
      <c r="O272" t="s">
        <v>34</v>
      </c>
      <c r="P272" s="2">
        <v>5146.6400000000003</v>
      </c>
      <c r="Q272" t="s">
        <v>26</v>
      </c>
      <c r="R272" s="1">
        <v>45280</v>
      </c>
      <c r="S272" s="1"/>
    </row>
    <row r="273" spans="1:19" x14ac:dyDescent="0.3">
      <c r="A273">
        <v>19884</v>
      </c>
      <c r="B273" t="s">
        <v>17</v>
      </c>
      <c r="C273" t="s">
        <v>17</v>
      </c>
      <c r="D273">
        <v>60000</v>
      </c>
      <c r="E273" t="str">
        <f>IF(Sales_Data[[#This Row],[Income]]&lt;=20000,"Low Income",IF(Sales_Data[[#This Row],[Income]]&lt;=40000,"Lower Middle",IF(Sales_Data[[#This Row],[Income]]&lt;=60000,"Middle Income",IF(Sales_Data[[#This Row],[Income]]&lt;=80000,"Upper Middle","High Income"))))</f>
        <v>Middle Income</v>
      </c>
      <c r="F273">
        <v>2</v>
      </c>
      <c r="G273" t="s">
        <v>45</v>
      </c>
      <c r="H273" t="s">
        <v>31</v>
      </c>
      <c r="I273" t="s">
        <v>21</v>
      </c>
      <c r="J273">
        <v>2</v>
      </c>
      <c r="K273" t="s">
        <v>33</v>
      </c>
      <c r="L273" t="s">
        <v>63</v>
      </c>
      <c r="M273">
        <v>55</v>
      </c>
      <c r="N273" t="s">
        <v>38</v>
      </c>
      <c r="O273" t="s">
        <v>41</v>
      </c>
      <c r="P273" s="2">
        <v>4565.74</v>
      </c>
      <c r="Q273" t="s">
        <v>40</v>
      </c>
      <c r="R273" s="1">
        <v>45076</v>
      </c>
      <c r="S273" s="1"/>
    </row>
    <row r="274" spans="1:19" x14ac:dyDescent="0.3">
      <c r="A274">
        <v>27393</v>
      </c>
      <c r="B274" t="s">
        <v>17</v>
      </c>
      <c r="C274" t="s">
        <v>18</v>
      </c>
      <c r="D274">
        <v>50000</v>
      </c>
      <c r="E274" t="str">
        <f>IF(Sales_Data[[#This Row],[Income]]&lt;=20000,"Low Income",IF(Sales_Data[[#This Row],[Income]]&lt;=40000,"Lower Middle",IF(Sales_Data[[#This Row],[Income]]&lt;=60000,"Middle Income",IF(Sales_Data[[#This Row],[Income]]&lt;=80000,"Upper Middle","High Income"))))</f>
        <v>Middle Income</v>
      </c>
      <c r="F274">
        <v>4</v>
      </c>
      <c r="G274" t="s">
        <v>19</v>
      </c>
      <c r="H274" t="s">
        <v>46</v>
      </c>
      <c r="I274" t="s">
        <v>21</v>
      </c>
      <c r="J274">
        <v>2</v>
      </c>
      <c r="K274" t="s">
        <v>53</v>
      </c>
      <c r="L274" t="s">
        <v>63</v>
      </c>
      <c r="M274">
        <v>63</v>
      </c>
      <c r="N274" t="s">
        <v>24</v>
      </c>
      <c r="O274" t="s">
        <v>29</v>
      </c>
      <c r="P274" s="2">
        <v>907.81</v>
      </c>
      <c r="Q274" t="s">
        <v>57</v>
      </c>
      <c r="R274" s="1">
        <v>45213</v>
      </c>
      <c r="S274" s="1"/>
    </row>
    <row r="275" spans="1:19" x14ac:dyDescent="0.3">
      <c r="A275">
        <v>14417</v>
      </c>
      <c r="B275" t="s">
        <v>35</v>
      </c>
      <c r="C275" t="s">
        <v>17</v>
      </c>
      <c r="D275">
        <v>60000</v>
      </c>
      <c r="E275" t="str">
        <f>IF(Sales_Data[[#This Row],[Income]]&lt;=20000,"Low Income",IF(Sales_Data[[#This Row],[Income]]&lt;=40000,"Lower Middle",IF(Sales_Data[[#This Row],[Income]]&lt;=60000,"Middle Income",IF(Sales_Data[[#This Row],[Income]]&lt;=80000,"Upper Middle","High Income"))))</f>
        <v>Middle Income</v>
      </c>
      <c r="F275">
        <v>3</v>
      </c>
      <c r="G275" t="s">
        <v>45</v>
      </c>
      <c r="H275" t="s">
        <v>31</v>
      </c>
      <c r="I275" t="s">
        <v>21</v>
      </c>
      <c r="J275">
        <v>2</v>
      </c>
      <c r="K275" t="s">
        <v>53</v>
      </c>
      <c r="L275" t="s">
        <v>63</v>
      </c>
      <c r="M275">
        <v>54</v>
      </c>
      <c r="N275" t="s">
        <v>24</v>
      </c>
      <c r="O275" t="s">
        <v>49</v>
      </c>
      <c r="P275" s="2">
        <v>5231.68</v>
      </c>
      <c r="Q275" t="s">
        <v>57</v>
      </c>
      <c r="R275" s="1">
        <v>45220</v>
      </c>
      <c r="S275" s="1"/>
    </row>
    <row r="276" spans="1:19" x14ac:dyDescent="0.3">
      <c r="A276">
        <v>18580</v>
      </c>
      <c r="B276" t="s">
        <v>17</v>
      </c>
      <c r="C276" t="s">
        <v>18</v>
      </c>
      <c r="D276">
        <v>60000</v>
      </c>
      <c r="E276" t="str">
        <f>IF(Sales_Data[[#This Row],[Income]]&lt;=20000,"Low Income",IF(Sales_Data[[#This Row],[Income]]&lt;=40000,"Lower Middle",IF(Sales_Data[[#This Row],[Income]]&lt;=60000,"Middle Income",IF(Sales_Data[[#This Row],[Income]]&lt;=80000,"Upper Middle","High Income"))))</f>
        <v>Middle Income</v>
      </c>
      <c r="F276">
        <v>2</v>
      </c>
      <c r="G276" t="s">
        <v>61</v>
      </c>
      <c r="H276" t="s">
        <v>31</v>
      </c>
      <c r="I276" t="s">
        <v>21</v>
      </c>
      <c r="J276">
        <v>0</v>
      </c>
      <c r="K276" t="s">
        <v>33</v>
      </c>
      <c r="L276" t="s">
        <v>63</v>
      </c>
      <c r="M276">
        <v>40</v>
      </c>
      <c r="N276" t="s">
        <v>24</v>
      </c>
      <c r="O276" t="s">
        <v>49</v>
      </c>
      <c r="P276" s="2">
        <v>632.99</v>
      </c>
      <c r="Q276" t="s">
        <v>52</v>
      </c>
      <c r="R276" s="1">
        <v>44965</v>
      </c>
      <c r="S276" s="1"/>
    </row>
    <row r="277" spans="1:19" x14ac:dyDescent="0.3">
      <c r="A277">
        <v>17025</v>
      </c>
      <c r="B277" t="s">
        <v>35</v>
      </c>
      <c r="C277" t="s">
        <v>17</v>
      </c>
      <c r="D277">
        <v>50000</v>
      </c>
      <c r="E277" t="str">
        <f>IF(Sales_Data[[#This Row],[Income]]&lt;=20000,"Low Income",IF(Sales_Data[[#This Row],[Income]]&lt;=40000,"Lower Middle",IF(Sales_Data[[#This Row],[Income]]&lt;=60000,"Middle Income",IF(Sales_Data[[#This Row],[Income]]&lt;=80000,"Upper Middle","High Income"))))</f>
        <v>Middle Income</v>
      </c>
      <c r="F277">
        <v>0</v>
      </c>
      <c r="G277" t="s">
        <v>27</v>
      </c>
      <c r="H277" t="s">
        <v>20</v>
      </c>
      <c r="I277" t="s">
        <v>32</v>
      </c>
      <c r="J277">
        <v>1</v>
      </c>
      <c r="K277" t="s">
        <v>33</v>
      </c>
      <c r="L277" t="s">
        <v>63</v>
      </c>
      <c r="M277">
        <v>39</v>
      </c>
      <c r="N277" t="s">
        <v>24</v>
      </c>
      <c r="O277" t="s">
        <v>34</v>
      </c>
      <c r="P277" s="2">
        <v>4990.3100000000004</v>
      </c>
      <c r="Q277" t="s">
        <v>51</v>
      </c>
      <c r="R277" s="1">
        <v>45082</v>
      </c>
      <c r="S277" s="1"/>
    </row>
    <row r="278" spans="1:19" x14ac:dyDescent="0.3">
      <c r="A278">
        <v>23200</v>
      </c>
      <c r="B278" t="s">
        <v>17</v>
      </c>
      <c r="C278" t="s">
        <v>18</v>
      </c>
      <c r="D278">
        <v>50000</v>
      </c>
      <c r="E278" t="str">
        <f>IF(Sales_Data[[#This Row],[Income]]&lt;=20000,"Low Income",IF(Sales_Data[[#This Row],[Income]]&lt;=40000,"Lower Middle",IF(Sales_Data[[#This Row],[Income]]&lt;=60000,"Middle Income",IF(Sales_Data[[#This Row],[Income]]&lt;=80000,"Upper Middle","High Income"))))</f>
        <v>Middle Income</v>
      </c>
      <c r="F278">
        <v>3</v>
      </c>
      <c r="G278" t="s">
        <v>19</v>
      </c>
      <c r="H278" t="s">
        <v>20</v>
      </c>
      <c r="I278" t="s">
        <v>21</v>
      </c>
      <c r="J278">
        <v>2</v>
      </c>
      <c r="K278" t="s">
        <v>22</v>
      </c>
      <c r="L278" t="s">
        <v>63</v>
      </c>
      <c r="M278">
        <v>41</v>
      </c>
      <c r="N278" t="s">
        <v>38</v>
      </c>
      <c r="O278" t="s">
        <v>62</v>
      </c>
      <c r="P278" s="2">
        <v>5414.7</v>
      </c>
      <c r="Q278" t="s">
        <v>40</v>
      </c>
      <c r="R278" s="1">
        <v>45061</v>
      </c>
      <c r="S278" s="1"/>
    </row>
    <row r="279" spans="1:19" x14ac:dyDescent="0.3">
      <c r="A279">
        <v>15895</v>
      </c>
      <c r="B279" t="s">
        <v>35</v>
      </c>
      <c r="C279" t="s">
        <v>18</v>
      </c>
      <c r="D279">
        <v>60000</v>
      </c>
      <c r="E279" t="str">
        <f>IF(Sales_Data[[#This Row],[Income]]&lt;=20000,"Low Income",IF(Sales_Data[[#This Row],[Income]]&lt;=40000,"Lower Middle",IF(Sales_Data[[#This Row],[Income]]&lt;=60000,"Middle Income",IF(Sales_Data[[#This Row],[Income]]&lt;=80000,"Upper Middle","High Income"))))</f>
        <v>Middle Income</v>
      </c>
      <c r="F279">
        <v>2</v>
      </c>
      <c r="G279" t="s">
        <v>19</v>
      </c>
      <c r="H279" t="s">
        <v>46</v>
      </c>
      <c r="I279" t="s">
        <v>21</v>
      </c>
      <c r="J279">
        <v>0</v>
      </c>
      <c r="K279" t="s">
        <v>53</v>
      </c>
      <c r="L279" t="s">
        <v>63</v>
      </c>
      <c r="M279">
        <v>58</v>
      </c>
      <c r="N279" t="s">
        <v>24</v>
      </c>
      <c r="O279" t="s">
        <v>34</v>
      </c>
      <c r="P279" s="2">
        <v>6508.61</v>
      </c>
      <c r="Q279" t="s">
        <v>56</v>
      </c>
      <c r="R279" s="1">
        <v>45192</v>
      </c>
      <c r="S279" s="1"/>
    </row>
    <row r="280" spans="1:19" x14ac:dyDescent="0.3">
      <c r="A280">
        <v>18577</v>
      </c>
      <c r="B280" t="s">
        <v>17</v>
      </c>
      <c r="C280" t="s">
        <v>18</v>
      </c>
      <c r="D280">
        <v>60000</v>
      </c>
      <c r="E280" t="str">
        <f>IF(Sales_Data[[#This Row],[Income]]&lt;=20000,"Low Income",IF(Sales_Data[[#This Row],[Income]]&lt;=40000,"Lower Middle",IF(Sales_Data[[#This Row],[Income]]&lt;=60000,"Middle Income",IF(Sales_Data[[#This Row],[Income]]&lt;=80000,"Upper Middle","High Income"))))</f>
        <v>Middle Income</v>
      </c>
      <c r="F280">
        <v>0</v>
      </c>
      <c r="G280" t="s">
        <v>61</v>
      </c>
      <c r="H280" t="s">
        <v>31</v>
      </c>
      <c r="I280" t="s">
        <v>21</v>
      </c>
      <c r="J280">
        <v>0</v>
      </c>
      <c r="K280" t="s">
        <v>22</v>
      </c>
      <c r="L280" t="s">
        <v>63</v>
      </c>
      <c r="M280">
        <v>40</v>
      </c>
      <c r="N280" t="s">
        <v>24</v>
      </c>
      <c r="O280" t="s">
        <v>55</v>
      </c>
      <c r="P280" s="2">
        <v>7755.64</v>
      </c>
      <c r="Q280" t="s">
        <v>30</v>
      </c>
      <c r="R280" s="1">
        <v>44988</v>
      </c>
      <c r="S280" s="1"/>
    </row>
    <row r="281" spans="1:19" x14ac:dyDescent="0.3">
      <c r="A281">
        <v>18847</v>
      </c>
      <c r="B281" t="s">
        <v>17</v>
      </c>
      <c r="C281" t="s">
        <v>18</v>
      </c>
      <c r="D281">
        <v>60000</v>
      </c>
      <c r="E281" t="str">
        <f>IF(Sales_Data[[#This Row],[Income]]&lt;=20000,"Low Income",IF(Sales_Data[[#This Row],[Income]]&lt;=40000,"Lower Middle",IF(Sales_Data[[#This Row],[Income]]&lt;=60000,"Middle Income",IF(Sales_Data[[#This Row],[Income]]&lt;=80000,"Upper Middle","High Income"))))</f>
        <v>Middle Income</v>
      </c>
      <c r="F281">
        <v>2</v>
      </c>
      <c r="G281" t="s">
        <v>61</v>
      </c>
      <c r="H281" t="s">
        <v>46</v>
      </c>
      <c r="I281" t="s">
        <v>21</v>
      </c>
      <c r="J281">
        <v>2</v>
      </c>
      <c r="K281" t="s">
        <v>36</v>
      </c>
      <c r="L281" t="s">
        <v>63</v>
      </c>
      <c r="M281">
        <v>70</v>
      </c>
      <c r="N281" t="s">
        <v>24</v>
      </c>
      <c r="O281" t="s">
        <v>29</v>
      </c>
      <c r="P281" s="2">
        <v>1428.52</v>
      </c>
      <c r="Q281" t="s">
        <v>58</v>
      </c>
      <c r="R281" s="1">
        <v>45117</v>
      </c>
      <c r="S281" s="1"/>
    </row>
    <row r="282" spans="1:19" x14ac:dyDescent="0.3">
      <c r="A282">
        <v>26452</v>
      </c>
      <c r="B282" t="s">
        <v>35</v>
      </c>
      <c r="C282" t="s">
        <v>17</v>
      </c>
      <c r="D282">
        <v>50000</v>
      </c>
      <c r="E282" t="str">
        <f>IF(Sales_Data[[#This Row],[Income]]&lt;=20000,"Low Income",IF(Sales_Data[[#This Row],[Income]]&lt;=40000,"Lower Middle",IF(Sales_Data[[#This Row],[Income]]&lt;=60000,"Middle Income",IF(Sales_Data[[#This Row],[Income]]&lt;=80000,"Upper Middle","High Income"))))</f>
        <v>Middle Income</v>
      </c>
      <c r="F282">
        <v>3</v>
      </c>
      <c r="G282" t="s">
        <v>61</v>
      </c>
      <c r="H282" t="s">
        <v>46</v>
      </c>
      <c r="I282" t="s">
        <v>21</v>
      </c>
      <c r="J282">
        <v>2</v>
      </c>
      <c r="K282" t="s">
        <v>53</v>
      </c>
      <c r="L282" t="s">
        <v>63</v>
      </c>
      <c r="M282">
        <v>69</v>
      </c>
      <c r="N282" t="s">
        <v>24</v>
      </c>
      <c r="O282" t="s">
        <v>25</v>
      </c>
      <c r="P282" s="2">
        <v>6230.18</v>
      </c>
      <c r="Q282" t="s">
        <v>44</v>
      </c>
      <c r="R282" s="1">
        <v>44950</v>
      </c>
      <c r="S282" s="1"/>
    </row>
    <row r="283" spans="1:19" x14ac:dyDescent="0.3">
      <c r="A283">
        <v>21751</v>
      </c>
      <c r="B283" t="s">
        <v>17</v>
      </c>
      <c r="C283" t="s">
        <v>17</v>
      </c>
      <c r="D283">
        <v>60000</v>
      </c>
      <c r="E283" t="str">
        <f>IF(Sales_Data[[#This Row],[Income]]&lt;=20000,"Low Income",IF(Sales_Data[[#This Row],[Income]]&lt;=40000,"Lower Middle",IF(Sales_Data[[#This Row],[Income]]&lt;=60000,"Middle Income",IF(Sales_Data[[#This Row],[Income]]&lt;=80000,"Upper Middle","High Income"))))</f>
        <v>Middle Income</v>
      </c>
      <c r="F283">
        <v>3</v>
      </c>
      <c r="G283" t="s">
        <v>61</v>
      </c>
      <c r="H283" t="s">
        <v>46</v>
      </c>
      <c r="I283" t="s">
        <v>21</v>
      </c>
      <c r="J283">
        <v>2</v>
      </c>
      <c r="K283" t="s">
        <v>43</v>
      </c>
      <c r="L283" t="s">
        <v>63</v>
      </c>
      <c r="M283">
        <v>63</v>
      </c>
      <c r="N283" t="s">
        <v>38</v>
      </c>
      <c r="O283" t="s">
        <v>54</v>
      </c>
      <c r="P283" s="2">
        <v>7522.86</v>
      </c>
      <c r="Q283" t="s">
        <v>40</v>
      </c>
      <c r="R283" s="1">
        <v>45047</v>
      </c>
      <c r="S283" s="1"/>
    </row>
    <row r="284" spans="1:19" x14ac:dyDescent="0.3">
      <c r="A284">
        <v>13388</v>
      </c>
      <c r="B284" t="s">
        <v>35</v>
      </c>
      <c r="C284" t="s">
        <v>17</v>
      </c>
      <c r="D284">
        <v>60000</v>
      </c>
      <c r="E284" t="str">
        <f>IF(Sales_Data[[#This Row],[Income]]&lt;=20000,"Low Income",IF(Sales_Data[[#This Row],[Income]]&lt;=40000,"Lower Middle",IF(Sales_Data[[#This Row],[Income]]&lt;=60000,"Middle Income",IF(Sales_Data[[#This Row],[Income]]&lt;=80000,"Upper Middle","High Income"))))</f>
        <v>Middle Income</v>
      </c>
      <c r="F284">
        <v>2</v>
      </c>
      <c r="G284" t="s">
        <v>27</v>
      </c>
      <c r="H284" t="s">
        <v>31</v>
      </c>
      <c r="I284" t="s">
        <v>21</v>
      </c>
      <c r="J284">
        <v>1</v>
      </c>
      <c r="K284" t="s">
        <v>53</v>
      </c>
      <c r="L284" t="s">
        <v>63</v>
      </c>
      <c r="M284">
        <v>56</v>
      </c>
      <c r="N284" t="s">
        <v>24</v>
      </c>
      <c r="O284" t="s">
        <v>34</v>
      </c>
      <c r="P284" s="2">
        <v>841.17</v>
      </c>
      <c r="Q284" t="s">
        <v>60</v>
      </c>
      <c r="R284" s="1">
        <v>45259</v>
      </c>
      <c r="S284" s="1"/>
    </row>
    <row r="285" spans="1:19" x14ac:dyDescent="0.3">
      <c r="A285">
        <v>15313</v>
      </c>
      <c r="B285" t="s">
        <v>17</v>
      </c>
      <c r="C285" t="s">
        <v>17</v>
      </c>
      <c r="D285">
        <v>60000</v>
      </c>
      <c r="E285" t="str">
        <f>IF(Sales_Data[[#This Row],[Income]]&lt;=20000,"Low Income",IF(Sales_Data[[#This Row],[Income]]&lt;=40000,"Lower Middle",IF(Sales_Data[[#This Row],[Income]]&lt;=60000,"Middle Income",IF(Sales_Data[[#This Row],[Income]]&lt;=80000,"Upper Middle","High Income"))))</f>
        <v>Middle Income</v>
      </c>
      <c r="F285">
        <v>4</v>
      </c>
      <c r="G285" t="s">
        <v>19</v>
      </c>
      <c r="H285" t="s">
        <v>46</v>
      </c>
      <c r="I285" t="s">
        <v>21</v>
      </c>
      <c r="J285">
        <v>2</v>
      </c>
      <c r="K285" t="s">
        <v>33</v>
      </c>
      <c r="L285" t="s">
        <v>63</v>
      </c>
      <c r="M285">
        <v>59</v>
      </c>
      <c r="N285" t="s">
        <v>24</v>
      </c>
      <c r="O285" t="s">
        <v>25</v>
      </c>
      <c r="P285" s="2">
        <v>3185.22</v>
      </c>
      <c r="Q285" t="s">
        <v>40</v>
      </c>
      <c r="R285" s="1">
        <v>45061</v>
      </c>
      <c r="S285" s="1"/>
    </row>
    <row r="286" spans="1:19" x14ac:dyDescent="0.3">
      <c r="A286">
        <v>20380</v>
      </c>
      <c r="B286" t="s">
        <v>17</v>
      </c>
      <c r="C286" t="s">
        <v>18</v>
      </c>
      <c r="D286">
        <v>60000</v>
      </c>
      <c r="E286" t="str">
        <f>IF(Sales_Data[[#This Row],[Income]]&lt;=20000,"Low Income",IF(Sales_Data[[#This Row],[Income]]&lt;=40000,"Lower Middle",IF(Sales_Data[[#This Row],[Income]]&lt;=60000,"Middle Income",IF(Sales_Data[[#This Row],[Income]]&lt;=80000,"Upper Middle","High Income"))))</f>
        <v>Middle Income</v>
      </c>
      <c r="F286">
        <v>3</v>
      </c>
      <c r="G286" t="s">
        <v>61</v>
      </c>
      <c r="H286" t="s">
        <v>46</v>
      </c>
      <c r="I286" t="s">
        <v>21</v>
      </c>
      <c r="J286">
        <v>2</v>
      </c>
      <c r="K286" t="s">
        <v>53</v>
      </c>
      <c r="L286" t="s">
        <v>63</v>
      </c>
      <c r="M286">
        <v>69</v>
      </c>
      <c r="N286" t="s">
        <v>24</v>
      </c>
      <c r="O286" t="s">
        <v>55</v>
      </c>
      <c r="P286" s="2">
        <v>3619.92</v>
      </c>
      <c r="Q286" t="s">
        <v>40</v>
      </c>
      <c r="R286" s="1">
        <v>45062</v>
      </c>
      <c r="S286" s="1"/>
    </row>
    <row r="287" spans="1:19" x14ac:dyDescent="0.3">
      <c r="A287">
        <v>24943</v>
      </c>
      <c r="B287" t="s">
        <v>17</v>
      </c>
      <c r="C287" t="s">
        <v>17</v>
      </c>
      <c r="D287">
        <v>60000</v>
      </c>
      <c r="E287" t="str">
        <f>IF(Sales_Data[[#This Row],[Income]]&lt;=20000,"Low Income",IF(Sales_Data[[#This Row],[Income]]&lt;=40000,"Lower Middle",IF(Sales_Data[[#This Row],[Income]]&lt;=60000,"Middle Income",IF(Sales_Data[[#This Row],[Income]]&lt;=80000,"Upper Middle","High Income"))))</f>
        <v>Middle Income</v>
      </c>
      <c r="F287">
        <v>3</v>
      </c>
      <c r="G287" t="s">
        <v>19</v>
      </c>
      <c r="H287" t="s">
        <v>46</v>
      </c>
      <c r="I287" t="s">
        <v>21</v>
      </c>
      <c r="J287">
        <v>2</v>
      </c>
      <c r="K287" t="s">
        <v>53</v>
      </c>
      <c r="L287" t="s">
        <v>63</v>
      </c>
      <c r="M287">
        <v>66</v>
      </c>
      <c r="N287" t="s">
        <v>24</v>
      </c>
      <c r="O287" t="s">
        <v>55</v>
      </c>
      <c r="P287" s="2">
        <v>7327.39</v>
      </c>
      <c r="Q287" t="s">
        <v>52</v>
      </c>
      <c r="R287" s="1">
        <v>44982</v>
      </c>
      <c r="S287" s="1"/>
    </row>
    <row r="288" spans="1:19" x14ac:dyDescent="0.3">
      <c r="A288">
        <v>17436</v>
      </c>
      <c r="B288" t="s">
        <v>17</v>
      </c>
      <c r="C288" t="s">
        <v>17</v>
      </c>
      <c r="D288">
        <v>60000</v>
      </c>
      <c r="E288" t="str">
        <f>IF(Sales_Data[[#This Row],[Income]]&lt;=20000,"Low Income",IF(Sales_Data[[#This Row],[Income]]&lt;=40000,"Lower Middle",IF(Sales_Data[[#This Row],[Income]]&lt;=60000,"Middle Income",IF(Sales_Data[[#This Row],[Income]]&lt;=80000,"Upper Middle","High Income"))))</f>
        <v>Middle Income</v>
      </c>
      <c r="F288">
        <v>2</v>
      </c>
      <c r="G288" t="s">
        <v>45</v>
      </c>
      <c r="H288" t="s">
        <v>31</v>
      </c>
      <c r="I288" t="s">
        <v>32</v>
      </c>
      <c r="J288">
        <v>2</v>
      </c>
      <c r="K288" t="s">
        <v>43</v>
      </c>
      <c r="L288" t="s">
        <v>63</v>
      </c>
      <c r="M288">
        <v>51</v>
      </c>
      <c r="N288" t="s">
        <v>24</v>
      </c>
      <c r="O288" t="s">
        <v>34</v>
      </c>
      <c r="P288" s="2">
        <v>9268.77</v>
      </c>
      <c r="Q288" t="s">
        <v>59</v>
      </c>
      <c r="R288" s="1">
        <v>45038</v>
      </c>
      <c r="S288" s="1"/>
    </row>
    <row r="289" spans="1:19" x14ac:dyDescent="0.3">
      <c r="A289">
        <v>12100</v>
      </c>
      <c r="B289" t="s">
        <v>35</v>
      </c>
      <c r="C289" t="s">
        <v>17</v>
      </c>
      <c r="D289">
        <v>60000</v>
      </c>
      <c r="E289" t="str">
        <f>IF(Sales_Data[[#This Row],[Income]]&lt;=20000,"Low Income",IF(Sales_Data[[#This Row],[Income]]&lt;=40000,"Lower Middle",IF(Sales_Data[[#This Row],[Income]]&lt;=60000,"Middle Income",IF(Sales_Data[[#This Row],[Income]]&lt;=80000,"Upper Middle","High Income"))))</f>
        <v>Middle Income</v>
      </c>
      <c r="F289">
        <v>2</v>
      </c>
      <c r="G289" t="s">
        <v>19</v>
      </c>
      <c r="H289" t="s">
        <v>46</v>
      </c>
      <c r="I289" t="s">
        <v>21</v>
      </c>
      <c r="J289">
        <v>0</v>
      </c>
      <c r="K289" t="s">
        <v>53</v>
      </c>
      <c r="L289" t="s">
        <v>63</v>
      </c>
      <c r="M289">
        <v>57</v>
      </c>
      <c r="N289" t="s">
        <v>24</v>
      </c>
      <c r="O289" t="s">
        <v>49</v>
      </c>
      <c r="P289" s="2">
        <v>7715.72</v>
      </c>
      <c r="Q289" t="s">
        <v>57</v>
      </c>
      <c r="R289" s="1">
        <v>45216</v>
      </c>
      <c r="S289" s="1"/>
    </row>
    <row r="290" spans="1:19" x14ac:dyDescent="0.3">
      <c r="A290">
        <v>23158</v>
      </c>
      <c r="B290" t="s">
        <v>17</v>
      </c>
      <c r="C290" t="s">
        <v>18</v>
      </c>
      <c r="D290">
        <v>60000</v>
      </c>
      <c r="E290" t="str">
        <f>IF(Sales_Data[[#This Row],[Income]]&lt;=20000,"Low Income",IF(Sales_Data[[#This Row],[Income]]&lt;=40000,"Lower Middle",IF(Sales_Data[[#This Row],[Income]]&lt;=60000,"Middle Income",IF(Sales_Data[[#This Row],[Income]]&lt;=80000,"Upper Middle","High Income"))))</f>
        <v>Middle Income</v>
      </c>
      <c r="F290">
        <v>1</v>
      </c>
      <c r="G290" t="s">
        <v>61</v>
      </c>
      <c r="H290" t="s">
        <v>31</v>
      </c>
      <c r="I290" t="s">
        <v>32</v>
      </c>
      <c r="J290">
        <v>0</v>
      </c>
      <c r="K290" t="s">
        <v>22</v>
      </c>
      <c r="L290" t="s">
        <v>63</v>
      </c>
      <c r="M290">
        <v>35</v>
      </c>
      <c r="N290" t="s">
        <v>24</v>
      </c>
      <c r="O290" t="s">
        <v>25</v>
      </c>
      <c r="P290" s="2">
        <v>2675.95</v>
      </c>
      <c r="Q290" t="s">
        <v>57</v>
      </c>
      <c r="R290" s="1">
        <v>45225</v>
      </c>
      <c r="S290" s="1"/>
    </row>
    <row r="291" spans="1:19" x14ac:dyDescent="0.3">
      <c r="A291">
        <v>19002</v>
      </c>
      <c r="B291" t="s">
        <v>17</v>
      </c>
      <c r="C291" t="s">
        <v>18</v>
      </c>
      <c r="D291">
        <v>60000</v>
      </c>
      <c r="E291" t="str">
        <f>IF(Sales_Data[[#This Row],[Income]]&lt;=20000,"Low Income",IF(Sales_Data[[#This Row],[Income]]&lt;=40000,"Lower Middle",IF(Sales_Data[[#This Row],[Income]]&lt;=60000,"Middle Income",IF(Sales_Data[[#This Row],[Income]]&lt;=80000,"Upper Middle","High Income"))))</f>
        <v>Middle Income</v>
      </c>
      <c r="F291">
        <v>2</v>
      </c>
      <c r="G291" t="s">
        <v>27</v>
      </c>
      <c r="H291" t="s">
        <v>31</v>
      </c>
      <c r="I291" t="s">
        <v>21</v>
      </c>
      <c r="J291">
        <v>1</v>
      </c>
      <c r="K291" t="s">
        <v>33</v>
      </c>
      <c r="L291" t="s">
        <v>63</v>
      </c>
      <c r="M291">
        <v>57</v>
      </c>
      <c r="N291" t="s">
        <v>24</v>
      </c>
      <c r="O291" t="s">
        <v>25</v>
      </c>
      <c r="P291" s="2">
        <v>325.22000000000003</v>
      </c>
      <c r="Q291" t="s">
        <v>52</v>
      </c>
      <c r="R291" s="1">
        <v>44965</v>
      </c>
      <c r="S291" s="1"/>
    </row>
    <row r="292" spans="1:19" x14ac:dyDescent="0.3">
      <c r="A292">
        <v>18858</v>
      </c>
      <c r="B292" t="s">
        <v>35</v>
      </c>
      <c r="C292" t="s">
        <v>17</v>
      </c>
      <c r="D292">
        <v>60000</v>
      </c>
      <c r="E292" t="str">
        <f>IF(Sales_Data[[#This Row],[Income]]&lt;=20000,"Low Income",IF(Sales_Data[[#This Row],[Income]]&lt;=40000,"Lower Middle",IF(Sales_Data[[#This Row],[Income]]&lt;=60000,"Middle Income",IF(Sales_Data[[#This Row],[Income]]&lt;=80000,"Upper Middle","High Income"))))</f>
        <v>Middle Income</v>
      </c>
      <c r="F292">
        <v>2</v>
      </c>
      <c r="G292" t="s">
        <v>50</v>
      </c>
      <c r="H292" t="s">
        <v>20</v>
      </c>
      <c r="I292" t="s">
        <v>21</v>
      </c>
      <c r="J292">
        <v>2</v>
      </c>
      <c r="K292" t="s">
        <v>36</v>
      </c>
      <c r="L292" t="s">
        <v>63</v>
      </c>
      <c r="M292">
        <v>52</v>
      </c>
      <c r="N292" t="s">
        <v>24</v>
      </c>
      <c r="O292" t="s">
        <v>25</v>
      </c>
      <c r="P292" s="2">
        <v>6645.62</v>
      </c>
      <c r="Q292" t="s">
        <v>51</v>
      </c>
      <c r="R292" s="1">
        <v>45106</v>
      </c>
      <c r="S292" s="1"/>
    </row>
    <row r="293" spans="1:19" x14ac:dyDescent="0.3">
      <c r="A293">
        <v>20000</v>
      </c>
      <c r="B293" t="s">
        <v>17</v>
      </c>
      <c r="C293" t="s">
        <v>17</v>
      </c>
      <c r="D293">
        <v>60000</v>
      </c>
      <c r="E293" t="str">
        <f>IF(Sales_Data[[#This Row],[Income]]&lt;=20000,"Low Income",IF(Sales_Data[[#This Row],[Income]]&lt;=40000,"Lower Middle",IF(Sales_Data[[#This Row],[Income]]&lt;=60000,"Middle Income",IF(Sales_Data[[#This Row],[Income]]&lt;=80000,"Upper Middle","High Income"))))</f>
        <v>Middle Income</v>
      </c>
      <c r="F293">
        <v>1</v>
      </c>
      <c r="G293" t="s">
        <v>61</v>
      </c>
      <c r="H293" t="s">
        <v>31</v>
      </c>
      <c r="I293" t="s">
        <v>21</v>
      </c>
      <c r="J293">
        <v>0</v>
      </c>
      <c r="K293" t="s">
        <v>22</v>
      </c>
      <c r="L293" t="s">
        <v>63</v>
      </c>
      <c r="M293">
        <v>35</v>
      </c>
      <c r="N293" t="s">
        <v>24</v>
      </c>
      <c r="O293" t="s">
        <v>29</v>
      </c>
      <c r="P293" s="2">
        <v>297.45999999999998</v>
      </c>
      <c r="Q293" t="s">
        <v>30</v>
      </c>
      <c r="R293" s="1">
        <v>45003</v>
      </c>
      <c r="S293" s="1"/>
    </row>
    <row r="294" spans="1:19" x14ac:dyDescent="0.3">
      <c r="A294">
        <v>16890</v>
      </c>
      <c r="B294" t="s">
        <v>17</v>
      </c>
      <c r="C294" t="s">
        <v>17</v>
      </c>
      <c r="D294">
        <v>60000</v>
      </c>
      <c r="E294" t="str">
        <f>IF(Sales_Data[[#This Row],[Income]]&lt;=20000,"Low Income",IF(Sales_Data[[#This Row],[Income]]&lt;=40000,"Lower Middle",IF(Sales_Data[[#This Row],[Income]]&lt;=60000,"Middle Income",IF(Sales_Data[[#This Row],[Income]]&lt;=80000,"Upper Middle","High Income"))))</f>
        <v>Middle Income</v>
      </c>
      <c r="F294">
        <v>3</v>
      </c>
      <c r="G294" t="s">
        <v>50</v>
      </c>
      <c r="H294" t="s">
        <v>20</v>
      </c>
      <c r="I294" t="s">
        <v>21</v>
      </c>
      <c r="J294">
        <v>2</v>
      </c>
      <c r="K294" t="s">
        <v>36</v>
      </c>
      <c r="L294" t="s">
        <v>63</v>
      </c>
      <c r="M294">
        <v>52</v>
      </c>
      <c r="N294" t="s">
        <v>38</v>
      </c>
      <c r="O294" t="s">
        <v>47</v>
      </c>
      <c r="P294" s="2">
        <v>4435.04</v>
      </c>
      <c r="Q294" t="s">
        <v>58</v>
      </c>
      <c r="R294" s="1">
        <v>45117</v>
      </c>
      <c r="S294" s="1"/>
    </row>
    <row r="295" spans="1:19" x14ac:dyDescent="0.3">
      <c r="A295">
        <v>14633</v>
      </c>
      <c r="B295" t="s">
        <v>17</v>
      </c>
      <c r="C295" t="s">
        <v>17</v>
      </c>
      <c r="D295">
        <v>60000</v>
      </c>
      <c r="E295" t="str">
        <f>IF(Sales_Data[[#This Row],[Income]]&lt;=20000,"Low Income",IF(Sales_Data[[#This Row],[Income]]&lt;=40000,"Lower Middle",IF(Sales_Data[[#This Row],[Income]]&lt;=60000,"Middle Income",IF(Sales_Data[[#This Row],[Income]]&lt;=80000,"Upper Middle","High Income"))))</f>
        <v>Middle Income</v>
      </c>
      <c r="F295">
        <v>1</v>
      </c>
      <c r="G295" t="s">
        <v>27</v>
      </c>
      <c r="H295" t="s">
        <v>20</v>
      </c>
      <c r="I295" t="s">
        <v>21</v>
      </c>
      <c r="J295">
        <v>1</v>
      </c>
      <c r="K295" t="s">
        <v>33</v>
      </c>
      <c r="L295" t="s">
        <v>63</v>
      </c>
      <c r="M295">
        <v>44</v>
      </c>
      <c r="N295" t="s">
        <v>24</v>
      </c>
      <c r="O295" t="s">
        <v>29</v>
      </c>
      <c r="P295" s="2">
        <v>5842.19</v>
      </c>
      <c r="Q295" t="s">
        <v>44</v>
      </c>
      <c r="R295" s="1">
        <v>44954</v>
      </c>
      <c r="S295" s="1"/>
    </row>
    <row r="296" spans="1:19" x14ac:dyDescent="0.3">
      <c r="A296">
        <v>11538</v>
      </c>
      <c r="B296" t="s">
        <v>35</v>
      </c>
      <c r="C296" t="s">
        <v>18</v>
      </c>
      <c r="D296">
        <v>60000</v>
      </c>
      <c r="E296" t="str">
        <f>IF(Sales_Data[[#This Row],[Income]]&lt;=20000,"Low Income",IF(Sales_Data[[#This Row],[Income]]&lt;=40000,"Lower Middle",IF(Sales_Data[[#This Row],[Income]]&lt;=60000,"Middle Income",IF(Sales_Data[[#This Row],[Income]]&lt;=80000,"Upper Middle","High Income"))))</f>
        <v>Middle Income</v>
      </c>
      <c r="F296">
        <v>4</v>
      </c>
      <c r="G296" t="s">
        <v>61</v>
      </c>
      <c r="H296" t="s">
        <v>20</v>
      </c>
      <c r="I296" t="s">
        <v>32</v>
      </c>
      <c r="J296">
        <v>0</v>
      </c>
      <c r="K296" t="s">
        <v>22</v>
      </c>
      <c r="L296" t="s">
        <v>63</v>
      </c>
      <c r="M296">
        <v>47</v>
      </c>
      <c r="N296" t="s">
        <v>24</v>
      </c>
      <c r="O296" t="s">
        <v>49</v>
      </c>
      <c r="P296" s="2">
        <v>5077.3599999999997</v>
      </c>
      <c r="Q296" t="s">
        <v>26</v>
      </c>
      <c r="R296" s="1">
        <v>45264</v>
      </c>
      <c r="S296" s="1"/>
    </row>
    <row r="297" spans="1:19" x14ac:dyDescent="0.3">
      <c r="A297">
        <v>25101</v>
      </c>
      <c r="B297" t="s">
        <v>17</v>
      </c>
      <c r="C297" t="s">
        <v>17</v>
      </c>
      <c r="D297">
        <v>60000</v>
      </c>
      <c r="E297" t="str">
        <f>IF(Sales_Data[[#This Row],[Income]]&lt;=20000,"Low Income",IF(Sales_Data[[#This Row],[Income]]&lt;=40000,"Lower Middle",IF(Sales_Data[[#This Row],[Income]]&lt;=60000,"Middle Income",IF(Sales_Data[[#This Row],[Income]]&lt;=80000,"Upper Middle","High Income"))))</f>
        <v>Middle Income</v>
      </c>
      <c r="F297">
        <v>5</v>
      </c>
      <c r="G297" t="s">
        <v>19</v>
      </c>
      <c r="H297" t="s">
        <v>31</v>
      </c>
      <c r="I297" t="s">
        <v>21</v>
      </c>
      <c r="J297">
        <v>1</v>
      </c>
      <c r="K297" t="s">
        <v>33</v>
      </c>
      <c r="L297" t="s">
        <v>63</v>
      </c>
      <c r="M297">
        <v>47</v>
      </c>
      <c r="N297" t="s">
        <v>38</v>
      </c>
      <c r="O297" t="s">
        <v>41</v>
      </c>
      <c r="P297" s="2">
        <v>6793.02</v>
      </c>
      <c r="Q297" t="s">
        <v>56</v>
      </c>
      <c r="R297" s="1">
        <v>45195</v>
      </c>
      <c r="S297" s="1"/>
    </row>
    <row r="298" spans="1:19" x14ac:dyDescent="0.3">
      <c r="A298">
        <v>22127</v>
      </c>
      <c r="B298" t="s">
        <v>17</v>
      </c>
      <c r="C298" t="s">
        <v>17</v>
      </c>
      <c r="D298">
        <v>60000</v>
      </c>
      <c r="E298" t="str">
        <f>IF(Sales_Data[[#This Row],[Income]]&lt;=20000,"Low Income",IF(Sales_Data[[#This Row],[Income]]&lt;=40000,"Lower Middle",IF(Sales_Data[[#This Row],[Income]]&lt;=60000,"Middle Income",IF(Sales_Data[[#This Row],[Income]]&lt;=80000,"Upper Middle","High Income"))))</f>
        <v>Middle Income</v>
      </c>
      <c r="F298">
        <v>3</v>
      </c>
      <c r="G298" t="s">
        <v>61</v>
      </c>
      <c r="H298" t="s">
        <v>46</v>
      </c>
      <c r="I298" t="s">
        <v>21</v>
      </c>
      <c r="J298">
        <v>2</v>
      </c>
      <c r="K298" t="s">
        <v>43</v>
      </c>
      <c r="L298" t="s">
        <v>63</v>
      </c>
      <c r="M298">
        <v>67</v>
      </c>
      <c r="N298" t="s">
        <v>38</v>
      </c>
      <c r="O298" t="s">
        <v>41</v>
      </c>
      <c r="P298" s="2">
        <v>7072.02</v>
      </c>
      <c r="Q298" t="s">
        <v>57</v>
      </c>
      <c r="R298" s="1">
        <v>45219</v>
      </c>
      <c r="S298" s="1"/>
    </row>
    <row r="299" spans="1:19" x14ac:dyDescent="0.3">
      <c r="A299">
        <v>20414</v>
      </c>
      <c r="B299" t="s">
        <v>17</v>
      </c>
      <c r="C299" t="s">
        <v>18</v>
      </c>
      <c r="D299">
        <v>60000</v>
      </c>
      <c r="E299" t="str">
        <f>IF(Sales_Data[[#This Row],[Income]]&lt;=20000,"Low Income",IF(Sales_Data[[#This Row],[Income]]&lt;=40000,"Lower Middle",IF(Sales_Data[[#This Row],[Income]]&lt;=60000,"Middle Income",IF(Sales_Data[[#This Row],[Income]]&lt;=80000,"Upper Middle","High Income"))))</f>
        <v>Middle Income</v>
      </c>
      <c r="F299">
        <v>0</v>
      </c>
      <c r="G299" t="s">
        <v>27</v>
      </c>
      <c r="H299" t="s">
        <v>20</v>
      </c>
      <c r="I299" t="s">
        <v>21</v>
      </c>
      <c r="J299">
        <v>2</v>
      </c>
      <c r="K299" t="s">
        <v>36</v>
      </c>
      <c r="L299" t="s">
        <v>63</v>
      </c>
      <c r="M299">
        <v>29</v>
      </c>
      <c r="N299" t="s">
        <v>38</v>
      </c>
      <c r="O299" t="s">
        <v>47</v>
      </c>
      <c r="P299" s="2">
        <v>4292.3500000000004</v>
      </c>
      <c r="Q299" t="s">
        <v>57</v>
      </c>
      <c r="R299" s="1">
        <v>45212</v>
      </c>
      <c r="S299" s="1"/>
    </row>
    <row r="300" spans="1:19" x14ac:dyDescent="0.3">
      <c r="A300">
        <v>23672</v>
      </c>
      <c r="B300" t="s">
        <v>17</v>
      </c>
      <c r="C300" t="s">
        <v>18</v>
      </c>
      <c r="D300">
        <v>60000</v>
      </c>
      <c r="E300" t="str">
        <f>IF(Sales_Data[[#This Row],[Income]]&lt;=20000,"Low Income",IF(Sales_Data[[#This Row],[Income]]&lt;=40000,"Lower Middle",IF(Sales_Data[[#This Row],[Income]]&lt;=60000,"Middle Income",IF(Sales_Data[[#This Row],[Income]]&lt;=80000,"Upper Middle","High Income"))))</f>
        <v>Middle Income</v>
      </c>
      <c r="F300">
        <v>3</v>
      </c>
      <c r="G300" t="s">
        <v>61</v>
      </c>
      <c r="H300" t="s">
        <v>46</v>
      </c>
      <c r="I300" t="s">
        <v>21</v>
      </c>
      <c r="J300">
        <v>2</v>
      </c>
      <c r="K300" t="s">
        <v>43</v>
      </c>
      <c r="L300" t="s">
        <v>63</v>
      </c>
      <c r="M300">
        <v>67</v>
      </c>
      <c r="N300" t="s">
        <v>38</v>
      </c>
      <c r="O300" t="s">
        <v>47</v>
      </c>
      <c r="P300" s="2">
        <v>3581.92</v>
      </c>
      <c r="Q300" t="s">
        <v>52</v>
      </c>
      <c r="R300" s="1">
        <v>44961</v>
      </c>
      <c r="S300" s="1"/>
    </row>
    <row r="301" spans="1:19" x14ac:dyDescent="0.3">
      <c r="A301">
        <v>28815</v>
      </c>
      <c r="B301" t="s">
        <v>17</v>
      </c>
      <c r="C301" t="s">
        <v>18</v>
      </c>
      <c r="D301">
        <v>50000</v>
      </c>
      <c r="E301" t="str">
        <f>IF(Sales_Data[[#This Row],[Income]]&lt;=20000,"Low Income",IF(Sales_Data[[#This Row],[Income]]&lt;=40000,"Lower Middle",IF(Sales_Data[[#This Row],[Income]]&lt;=60000,"Middle Income",IF(Sales_Data[[#This Row],[Income]]&lt;=80000,"Upper Middle","High Income"))))</f>
        <v>Middle Income</v>
      </c>
      <c r="F301">
        <v>1</v>
      </c>
      <c r="G301" t="s">
        <v>61</v>
      </c>
      <c r="H301" t="s">
        <v>20</v>
      </c>
      <c r="I301" t="s">
        <v>21</v>
      </c>
      <c r="J301">
        <v>0</v>
      </c>
      <c r="K301" t="s">
        <v>22</v>
      </c>
      <c r="L301" t="s">
        <v>63</v>
      </c>
      <c r="M301">
        <v>35</v>
      </c>
      <c r="N301" t="s">
        <v>38</v>
      </c>
      <c r="O301" t="s">
        <v>39</v>
      </c>
      <c r="P301" s="2">
        <v>5905.49</v>
      </c>
      <c r="Q301" t="s">
        <v>48</v>
      </c>
      <c r="R301" s="1">
        <v>45160</v>
      </c>
      <c r="S301" s="1"/>
    </row>
    <row r="302" spans="1:19" x14ac:dyDescent="0.3">
      <c r="A302">
        <v>27388</v>
      </c>
      <c r="B302" t="s">
        <v>17</v>
      </c>
      <c r="C302" t="s">
        <v>17</v>
      </c>
      <c r="D302">
        <v>60000</v>
      </c>
      <c r="E302" t="str">
        <f>IF(Sales_Data[[#This Row],[Income]]&lt;=20000,"Low Income",IF(Sales_Data[[#This Row],[Income]]&lt;=40000,"Lower Middle",IF(Sales_Data[[#This Row],[Income]]&lt;=60000,"Middle Income",IF(Sales_Data[[#This Row],[Income]]&lt;=80000,"Upper Middle","High Income"))))</f>
        <v>Middle Income</v>
      </c>
      <c r="F302">
        <v>3</v>
      </c>
      <c r="G302" t="s">
        <v>19</v>
      </c>
      <c r="H302" t="s">
        <v>46</v>
      </c>
      <c r="I302" t="s">
        <v>32</v>
      </c>
      <c r="J302">
        <v>2</v>
      </c>
      <c r="K302" t="s">
        <v>43</v>
      </c>
      <c r="L302" t="s">
        <v>63</v>
      </c>
      <c r="M302">
        <v>66</v>
      </c>
      <c r="N302" t="s">
        <v>38</v>
      </c>
      <c r="O302" t="s">
        <v>41</v>
      </c>
      <c r="P302" s="2">
        <v>8901.8700000000008</v>
      </c>
      <c r="Q302" t="s">
        <v>26</v>
      </c>
      <c r="R302" s="1">
        <v>45288</v>
      </c>
      <c r="S302" s="1"/>
    </row>
    <row r="303" spans="1:19" x14ac:dyDescent="0.3">
      <c r="A303">
        <v>25886</v>
      </c>
      <c r="B303" t="s">
        <v>17</v>
      </c>
      <c r="C303" t="s">
        <v>18</v>
      </c>
      <c r="D303">
        <v>60000</v>
      </c>
      <c r="E303" t="str">
        <f>IF(Sales_Data[[#This Row],[Income]]&lt;=20000,"Low Income",IF(Sales_Data[[#This Row],[Income]]&lt;=40000,"Lower Middle",IF(Sales_Data[[#This Row],[Income]]&lt;=60000,"Middle Income",IF(Sales_Data[[#This Row],[Income]]&lt;=80000,"Upper Middle","High Income"))))</f>
        <v>Middle Income</v>
      </c>
      <c r="F303">
        <v>2</v>
      </c>
      <c r="G303" t="s">
        <v>27</v>
      </c>
      <c r="H303" t="s">
        <v>31</v>
      </c>
      <c r="I303" t="s">
        <v>21</v>
      </c>
      <c r="J303">
        <v>2</v>
      </c>
      <c r="K303" t="s">
        <v>33</v>
      </c>
      <c r="L303" t="s">
        <v>63</v>
      </c>
      <c r="M303">
        <v>56</v>
      </c>
      <c r="N303" t="s">
        <v>24</v>
      </c>
      <c r="O303" t="s">
        <v>34</v>
      </c>
      <c r="P303" s="2">
        <v>8988.73</v>
      </c>
      <c r="Q303" t="s">
        <v>56</v>
      </c>
      <c r="R303" s="1">
        <v>45180</v>
      </c>
      <c r="S303" s="1"/>
    </row>
    <row r="304" spans="1:19" x14ac:dyDescent="0.3">
      <c r="A304">
        <v>21441</v>
      </c>
      <c r="B304" t="s">
        <v>17</v>
      </c>
      <c r="C304" t="s">
        <v>17</v>
      </c>
      <c r="D304">
        <v>50000</v>
      </c>
      <c r="E304" t="str">
        <f>IF(Sales_Data[[#This Row],[Income]]&lt;=20000,"Low Income",IF(Sales_Data[[#This Row],[Income]]&lt;=40000,"Lower Middle",IF(Sales_Data[[#This Row],[Income]]&lt;=60000,"Middle Income",IF(Sales_Data[[#This Row],[Income]]&lt;=80000,"Upper Middle","High Income"))))</f>
        <v>Middle Income</v>
      </c>
      <c r="F304">
        <v>4</v>
      </c>
      <c r="G304" t="s">
        <v>19</v>
      </c>
      <c r="H304" t="s">
        <v>46</v>
      </c>
      <c r="I304" t="s">
        <v>21</v>
      </c>
      <c r="J304">
        <v>2</v>
      </c>
      <c r="K304" t="s">
        <v>53</v>
      </c>
      <c r="L304" t="s">
        <v>63</v>
      </c>
      <c r="M304">
        <v>64</v>
      </c>
      <c r="N304" t="s">
        <v>38</v>
      </c>
      <c r="O304" t="s">
        <v>47</v>
      </c>
      <c r="P304" s="2">
        <v>282.95</v>
      </c>
      <c r="Q304" t="s">
        <v>51</v>
      </c>
      <c r="R304" s="1">
        <v>45078</v>
      </c>
      <c r="S304" s="1"/>
    </row>
    <row r="305" spans="1:19" x14ac:dyDescent="0.3">
      <c r="A305">
        <v>23368</v>
      </c>
      <c r="B305" t="s">
        <v>17</v>
      </c>
      <c r="C305" t="s">
        <v>18</v>
      </c>
      <c r="D305">
        <v>60000</v>
      </c>
      <c r="E305" t="str">
        <f>IF(Sales_Data[[#This Row],[Income]]&lt;=20000,"Low Income",IF(Sales_Data[[#This Row],[Income]]&lt;=40000,"Lower Middle",IF(Sales_Data[[#This Row],[Income]]&lt;=60000,"Middle Income",IF(Sales_Data[[#This Row],[Income]]&lt;=80000,"Upper Middle","High Income"))))</f>
        <v>Middle Income</v>
      </c>
      <c r="F305">
        <v>5</v>
      </c>
      <c r="G305" t="s">
        <v>19</v>
      </c>
      <c r="H305" t="s">
        <v>20</v>
      </c>
      <c r="I305" t="s">
        <v>21</v>
      </c>
      <c r="J305">
        <v>3</v>
      </c>
      <c r="K305" t="s">
        <v>53</v>
      </c>
      <c r="L305" t="s">
        <v>63</v>
      </c>
      <c r="M305">
        <v>41</v>
      </c>
      <c r="N305" t="s">
        <v>38</v>
      </c>
      <c r="O305" t="s">
        <v>39</v>
      </c>
      <c r="P305" s="2">
        <v>1335.12</v>
      </c>
      <c r="Q305" t="s">
        <v>40</v>
      </c>
      <c r="R305" s="1">
        <v>45048</v>
      </c>
      <c r="S305" s="1"/>
    </row>
    <row r="306" spans="1:19" x14ac:dyDescent="0.3">
      <c r="A306">
        <v>16217</v>
      </c>
      <c r="B306" t="s">
        <v>35</v>
      </c>
      <c r="C306" t="s">
        <v>18</v>
      </c>
      <c r="D306">
        <v>60000</v>
      </c>
      <c r="E306" t="str">
        <f>IF(Sales_Data[[#This Row],[Income]]&lt;=20000,"Low Income",IF(Sales_Data[[#This Row],[Income]]&lt;=40000,"Lower Middle",IF(Sales_Data[[#This Row],[Income]]&lt;=60000,"Middle Income",IF(Sales_Data[[#This Row],[Income]]&lt;=80000,"Upper Middle","High Income"))))</f>
        <v>Middle Income</v>
      </c>
      <c r="F306">
        <v>0</v>
      </c>
      <c r="G306" t="s">
        <v>61</v>
      </c>
      <c r="H306" t="s">
        <v>20</v>
      </c>
      <c r="I306" t="s">
        <v>21</v>
      </c>
      <c r="J306">
        <v>0</v>
      </c>
      <c r="K306" t="s">
        <v>22</v>
      </c>
      <c r="L306" t="s">
        <v>63</v>
      </c>
      <c r="M306">
        <v>39</v>
      </c>
      <c r="N306" t="s">
        <v>38</v>
      </c>
      <c r="O306" t="s">
        <v>47</v>
      </c>
      <c r="P306" s="2">
        <v>9214.4699999999993</v>
      </c>
      <c r="Q306" t="s">
        <v>51</v>
      </c>
      <c r="R306" s="1">
        <v>45106</v>
      </c>
      <c r="S306" s="1"/>
    </row>
    <row r="307" spans="1:19" x14ac:dyDescent="0.3">
      <c r="A307">
        <v>16247</v>
      </c>
      <c r="B307" t="s">
        <v>35</v>
      </c>
      <c r="C307" t="s">
        <v>18</v>
      </c>
      <c r="D307">
        <v>60000</v>
      </c>
      <c r="E307" t="str">
        <f>IF(Sales_Data[[#This Row],[Income]]&lt;=20000,"Low Income",IF(Sales_Data[[#This Row],[Income]]&lt;=40000,"Lower Middle",IF(Sales_Data[[#This Row],[Income]]&lt;=60000,"Middle Income",IF(Sales_Data[[#This Row],[Income]]&lt;=80000,"Upper Middle","High Income"))))</f>
        <v>Middle Income</v>
      </c>
      <c r="F307">
        <v>4</v>
      </c>
      <c r="G307" t="s">
        <v>61</v>
      </c>
      <c r="H307" t="s">
        <v>20</v>
      </c>
      <c r="I307" t="s">
        <v>32</v>
      </c>
      <c r="J307">
        <v>0</v>
      </c>
      <c r="K307" t="s">
        <v>43</v>
      </c>
      <c r="L307" t="s">
        <v>63</v>
      </c>
      <c r="M307">
        <v>47</v>
      </c>
      <c r="N307" t="s">
        <v>24</v>
      </c>
      <c r="O307" t="s">
        <v>34</v>
      </c>
      <c r="P307" s="2">
        <v>3820.06</v>
      </c>
      <c r="Q307" t="s">
        <v>51</v>
      </c>
      <c r="R307" s="1">
        <v>45088</v>
      </c>
      <c r="S307" s="1"/>
    </row>
    <row r="308" spans="1:19" x14ac:dyDescent="0.3">
      <c r="A308">
        <v>14284</v>
      </c>
      <c r="B308" t="s">
        <v>35</v>
      </c>
      <c r="C308" t="s">
        <v>17</v>
      </c>
      <c r="D308">
        <v>60000</v>
      </c>
      <c r="E308" t="str">
        <f>IF(Sales_Data[[#This Row],[Income]]&lt;=20000,"Low Income",IF(Sales_Data[[#This Row],[Income]]&lt;=40000,"Lower Middle",IF(Sales_Data[[#This Row],[Income]]&lt;=60000,"Middle Income",IF(Sales_Data[[#This Row],[Income]]&lt;=80000,"Upper Middle","High Income"))))</f>
        <v>Middle Income</v>
      </c>
      <c r="F308">
        <v>0</v>
      </c>
      <c r="G308" t="s">
        <v>27</v>
      </c>
      <c r="H308" t="s">
        <v>31</v>
      </c>
      <c r="I308" t="s">
        <v>32</v>
      </c>
      <c r="J308">
        <v>2</v>
      </c>
      <c r="K308" t="s">
        <v>43</v>
      </c>
      <c r="L308" t="s">
        <v>63</v>
      </c>
      <c r="M308">
        <v>32</v>
      </c>
      <c r="N308" t="s">
        <v>24</v>
      </c>
      <c r="O308" t="s">
        <v>55</v>
      </c>
      <c r="P308" s="2">
        <v>6263.78</v>
      </c>
      <c r="Q308" t="s">
        <v>48</v>
      </c>
      <c r="R308" s="1">
        <v>45142</v>
      </c>
      <c r="S308" s="1"/>
    </row>
    <row r="309" spans="1:19" x14ac:dyDescent="0.3">
      <c r="A309">
        <v>17531</v>
      </c>
      <c r="B309" t="s">
        <v>17</v>
      </c>
      <c r="C309" t="s">
        <v>17</v>
      </c>
      <c r="D309">
        <v>60000</v>
      </c>
      <c r="E309" t="str">
        <f>IF(Sales_Data[[#This Row],[Income]]&lt;=20000,"Low Income",IF(Sales_Data[[#This Row],[Income]]&lt;=40000,"Lower Middle",IF(Sales_Data[[#This Row],[Income]]&lt;=60000,"Middle Income",IF(Sales_Data[[#This Row],[Income]]&lt;=80000,"Upper Middle","High Income"))))</f>
        <v>Middle Income</v>
      </c>
      <c r="F309">
        <v>2</v>
      </c>
      <c r="G309" t="s">
        <v>45</v>
      </c>
      <c r="H309" t="s">
        <v>31</v>
      </c>
      <c r="I309" t="s">
        <v>32</v>
      </c>
      <c r="J309">
        <v>2</v>
      </c>
      <c r="K309" t="s">
        <v>36</v>
      </c>
      <c r="L309" t="s">
        <v>63</v>
      </c>
      <c r="M309">
        <v>50</v>
      </c>
      <c r="N309" t="s">
        <v>38</v>
      </c>
      <c r="O309" t="s">
        <v>54</v>
      </c>
      <c r="P309" s="2">
        <v>1251.23</v>
      </c>
      <c r="Q309" t="s">
        <v>58</v>
      </c>
      <c r="R309" s="1">
        <v>45127</v>
      </c>
      <c r="S309" s="1"/>
    </row>
    <row r="310" spans="1:19" x14ac:dyDescent="0.3">
      <c r="A310">
        <v>19133</v>
      </c>
      <c r="B310" t="s">
        <v>35</v>
      </c>
      <c r="C310" t="s">
        <v>17</v>
      </c>
      <c r="D310">
        <v>50000</v>
      </c>
      <c r="E310" t="str">
        <f>IF(Sales_Data[[#This Row],[Income]]&lt;=20000,"Low Income",IF(Sales_Data[[#This Row],[Income]]&lt;=40000,"Lower Middle",IF(Sales_Data[[#This Row],[Income]]&lt;=60000,"Middle Income",IF(Sales_Data[[#This Row],[Income]]&lt;=80000,"Upper Middle","High Income"))))</f>
        <v>Middle Income</v>
      </c>
      <c r="F310">
        <v>2</v>
      </c>
      <c r="G310" t="s">
        <v>19</v>
      </c>
      <c r="H310" t="s">
        <v>20</v>
      </c>
      <c r="I310" t="s">
        <v>21</v>
      </c>
      <c r="J310">
        <v>1</v>
      </c>
      <c r="K310" t="s">
        <v>33</v>
      </c>
      <c r="L310" t="s">
        <v>63</v>
      </c>
      <c r="M310">
        <v>38</v>
      </c>
      <c r="N310" t="s">
        <v>24</v>
      </c>
      <c r="O310" t="s">
        <v>29</v>
      </c>
      <c r="P310" s="2">
        <v>3840.1</v>
      </c>
      <c r="Q310" t="s">
        <v>40</v>
      </c>
      <c r="R310" s="1">
        <v>45065</v>
      </c>
      <c r="S310" s="1"/>
    </row>
    <row r="311" spans="1:19" x14ac:dyDescent="0.3">
      <c r="A311">
        <v>24643</v>
      </c>
      <c r="B311" t="s">
        <v>35</v>
      </c>
      <c r="C311" t="s">
        <v>18</v>
      </c>
      <c r="D311">
        <v>60000</v>
      </c>
      <c r="E311" t="str">
        <f>IF(Sales_Data[[#This Row],[Income]]&lt;=20000,"Low Income",IF(Sales_Data[[#This Row],[Income]]&lt;=40000,"Lower Middle",IF(Sales_Data[[#This Row],[Income]]&lt;=60000,"Middle Income",IF(Sales_Data[[#This Row],[Income]]&lt;=80000,"Upper Middle","High Income"))))</f>
        <v>Middle Income</v>
      </c>
      <c r="F311">
        <v>4</v>
      </c>
      <c r="G311" t="s">
        <v>19</v>
      </c>
      <c r="H311" t="s">
        <v>46</v>
      </c>
      <c r="I311" t="s">
        <v>21</v>
      </c>
      <c r="J311">
        <v>2</v>
      </c>
      <c r="K311" t="s">
        <v>53</v>
      </c>
      <c r="L311" t="s">
        <v>63</v>
      </c>
      <c r="M311">
        <v>63</v>
      </c>
      <c r="N311" t="s">
        <v>24</v>
      </c>
      <c r="O311" t="s">
        <v>25</v>
      </c>
      <c r="P311" s="2">
        <v>5359.93</v>
      </c>
      <c r="Q311" t="s">
        <v>59</v>
      </c>
      <c r="R311" s="1">
        <v>45030</v>
      </c>
      <c r="S311" s="1"/>
    </row>
    <row r="312" spans="1:19" x14ac:dyDescent="0.3">
      <c r="A312">
        <v>21599</v>
      </c>
      <c r="B312" t="s">
        <v>17</v>
      </c>
      <c r="C312" t="s">
        <v>18</v>
      </c>
      <c r="D312">
        <v>60000</v>
      </c>
      <c r="E312" t="str">
        <f>IF(Sales_Data[[#This Row],[Income]]&lt;=20000,"Low Income",IF(Sales_Data[[#This Row],[Income]]&lt;=40000,"Lower Middle",IF(Sales_Data[[#This Row],[Income]]&lt;=60000,"Middle Income",IF(Sales_Data[[#This Row],[Income]]&lt;=80000,"Upper Middle","High Income"))))</f>
        <v>Middle Income</v>
      </c>
      <c r="F312">
        <v>1</v>
      </c>
      <c r="G312" t="s">
        <v>61</v>
      </c>
      <c r="H312" t="s">
        <v>31</v>
      </c>
      <c r="I312" t="s">
        <v>21</v>
      </c>
      <c r="J312">
        <v>0</v>
      </c>
      <c r="K312" t="s">
        <v>33</v>
      </c>
      <c r="L312" t="s">
        <v>63</v>
      </c>
      <c r="M312">
        <v>36</v>
      </c>
      <c r="N312" t="s">
        <v>38</v>
      </c>
      <c r="O312" t="s">
        <v>47</v>
      </c>
      <c r="P312" s="2">
        <v>9253.0300000000007</v>
      </c>
      <c r="Q312" t="s">
        <v>57</v>
      </c>
      <c r="R312" s="1">
        <v>45224</v>
      </c>
      <c r="S312" s="1"/>
    </row>
    <row r="313" spans="1:19" x14ac:dyDescent="0.3">
      <c r="A313">
        <v>17864</v>
      </c>
      <c r="B313" t="s">
        <v>17</v>
      </c>
      <c r="C313" t="s">
        <v>18</v>
      </c>
      <c r="D313">
        <v>60000</v>
      </c>
      <c r="E313" t="str">
        <f>IF(Sales_Data[[#This Row],[Income]]&lt;=20000,"Low Income",IF(Sales_Data[[#This Row],[Income]]&lt;=40000,"Lower Middle",IF(Sales_Data[[#This Row],[Income]]&lt;=60000,"Middle Income",IF(Sales_Data[[#This Row],[Income]]&lt;=80000,"Upper Middle","High Income"))))</f>
        <v>Middle Income</v>
      </c>
      <c r="F313">
        <v>1</v>
      </c>
      <c r="G313" t="s">
        <v>27</v>
      </c>
      <c r="H313" t="s">
        <v>20</v>
      </c>
      <c r="I313" t="s">
        <v>21</v>
      </c>
      <c r="J313">
        <v>1</v>
      </c>
      <c r="K313" t="s">
        <v>33</v>
      </c>
      <c r="L313" t="s">
        <v>63</v>
      </c>
      <c r="M313">
        <v>46</v>
      </c>
      <c r="N313" t="s">
        <v>24</v>
      </c>
      <c r="O313" t="s">
        <v>55</v>
      </c>
      <c r="P313" s="2">
        <v>3509.5</v>
      </c>
      <c r="Q313" t="s">
        <v>48</v>
      </c>
      <c r="R313" s="1">
        <v>45150</v>
      </c>
      <c r="S313" s="1"/>
    </row>
    <row r="314" spans="1:19" x14ac:dyDescent="0.3">
      <c r="A314">
        <v>14592</v>
      </c>
      <c r="B314" t="s">
        <v>17</v>
      </c>
      <c r="C314" t="s">
        <v>18</v>
      </c>
      <c r="D314">
        <v>60000</v>
      </c>
      <c r="E314" t="str">
        <f>IF(Sales_Data[[#This Row],[Income]]&lt;=20000,"Low Income",IF(Sales_Data[[#This Row],[Income]]&lt;=40000,"Lower Middle",IF(Sales_Data[[#This Row],[Income]]&lt;=60000,"Middle Income",IF(Sales_Data[[#This Row],[Income]]&lt;=80000,"Upper Middle","High Income"))))</f>
        <v>Middle Income</v>
      </c>
      <c r="F314">
        <v>0</v>
      </c>
      <c r="G314" t="s">
        <v>61</v>
      </c>
      <c r="H314" t="s">
        <v>31</v>
      </c>
      <c r="I314" t="s">
        <v>21</v>
      </c>
      <c r="J314">
        <v>0</v>
      </c>
      <c r="K314" t="s">
        <v>22</v>
      </c>
      <c r="L314" t="s">
        <v>63</v>
      </c>
      <c r="M314">
        <v>40</v>
      </c>
      <c r="N314" t="s">
        <v>24</v>
      </c>
      <c r="O314" t="s">
        <v>25</v>
      </c>
      <c r="P314" s="2">
        <v>8343.4699999999993</v>
      </c>
      <c r="Q314" t="s">
        <v>58</v>
      </c>
      <c r="R314" s="1">
        <v>45134</v>
      </c>
      <c r="S314" s="1"/>
    </row>
    <row r="315" spans="1:19" x14ac:dyDescent="0.3">
      <c r="A315">
        <v>22227</v>
      </c>
      <c r="B315" t="s">
        <v>17</v>
      </c>
      <c r="C315" t="s">
        <v>18</v>
      </c>
      <c r="D315">
        <v>60000</v>
      </c>
      <c r="E315" t="str">
        <f>IF(Sales_Data[[#This Row],[Income]]&lt;=20000,"Low Income",IF(Sales_Data[[#This Row],[Income]]&lt;=40000,"Lower Middle",IF(Sales_Data[[#This Row],[Income]]&lt;=60000,"Middle Income",IF(Sales_Data[[#This Row],[Income]]&lt;=80000,"Upper Middle","High Income"))))</f>
        <v>Middle Income</v>
      </c>
      <c r="F315">
        <v>2</v>
      </c>
      <c r="G315" t="s">
        <v>45</v>
      </c>
      <c r="H315" t="s">
        <v>31</v>
      </c>
      <c r="I315" t="s">
        <v>21</v>
      </c>
      <c r="J315">
        <v>2</v>
      </c>
      <c r="K315" t="s">
        <v>36</v>
      </c>
      <c r="L315" t="s">
        <v>63</v>
      </c>
      <c r="M315">
        <v>50</v>
      </c>
      <c r="N315" t="s">
        <v>38</v>
      </c>
      <c r="O315" t="s">
        <v>54</v>
      </c>
      <c r="P315" s="2">
        <v>9317.33</v>
      </c>
      <c r="Q315" t="s">
        <v>56</v>
      </c>
      <c r="R315" s="1">
        <v>45180</v>
      </c>
      <c r="S315" s="1"/>
    </row>
    <row r="316" spans="1:19" x14ac:dyDescent="0.3">
      <c r="A316">
        <v>22252</v>
      </c>
      <c r="B316" t="s">
        <v>35</v>
      </c>
      <c r="C316" t="s">
        <v>18</v>
      </c>
      <c r="D316">
        <v>60000</v>
      </c>
      <c r="E316" t="str">
        <f>IF(Sales_Data[[#This Row],[Income]]&lt;=20000,"Low Income",IF(Sales_Data[[#This Row],[Income]]&lt;=40000,"Lower Middle",IF(Sales_Data[[#This Row],[Income]]&lt;=60000,"Middle Income",IF(Sales_Data[[#This Row],[Income]]&lt;=80000,"Upper Middle","High Income"))))</f>
        <v>Middle Income</v>
      </c>
      <c r="F316">
        <v>1</v>
      </c>
      <c r="G316" t="s">
        <v>61</v>
      </c>
      <c r="H316" t="s">
        <v>31</v>
      </c>
      <c r="I316" t="s">
        <v>21</v>
      </c>
      <c r="J316">
        <v>0</v>
      </c>
      <c r="K316" t="s">
        <v>33</v>
      </c>
      <c r="L316" t="s">
        <v>63</v>
      </c>
      <c r="M316">
        <v>36</v>
      </c>
      <c r="N316" t="s">
        <v>38</v>
      </c>
      <c r="O316" t="s">
        <v>39</v>
      </c>
      <c r="P316" s="2">
        <v>8124.59</v>
      </c>
      <c r="Q316" t="s">
        <v>44</v>
      </c>
      <c r="R316" s="1">
        <v>44936</v>
      </c>
      <c r="S316" s="1"/>
    </row>
    <row r="317" spans="1:19" x14ac:dyDescent="0.3">
      <c r="A317">
        <v>13760</v>
      </c>
      <c r="B317" t="s">
        <v>17</v>
      </c>
      <c r="C317" t="s">
        <v>17</v>
      </c>
      <c r="D317">
        <v>60000</v>
      </c>
      <c r="E317" t="str">
        <f>IF(Sales_Data[[#This Row],[Income]]&lt;=20000,"Low Income",IF(Sales_Data[[#This Row],[Income]]&lt;=40000,"Lower Middle",IF(Sales_Data[[#This Row],[Income]]&lt;=60000,"Middle Income",IF(Sales_Data[[#This Row],[Income]]&lt;=80000,"Upper Middle","High Income"))))</f>
        <v>Middle Income</v>
      </c>
      <c r="F317">
        <v>4</v>
      </c>
      <c r="G317" t="s">
        <v>61</v>
      </c>
      <c r="H317" t="s">
        <v>20</v>
      </c>
      <c r="I317" t="s">
        <v>32</v>
      </c>
      <c r="J317">
        <v>0</v>
      </c>
      <c r="K317" t="s">
        <v>22</v>
      </c>
      <c r="L317" t="s">
        <v>63</v>
      </c>
      <c r="M317">
        <v>47</v>
      </c>
      <c r="N317" t="s">
        <v>24</v>
      </c>
      <c r="O317" t="s">
        <v>29</v>
      </c>
      <c r="P317" s="2">
        <v>1155.46</v>
      </c>
      <c r="Q317" t="s">
        <v>40</v>
      </c>
      <c r="R317" s="1">
        <v>45071</v>
      </c>
      <c r="S317" s="1"/>
    </row>
    <row r="318" spans="1:19" x14ac:dyDescent="0.3">
      <c r="A318">
        <v>21770</v>
      </c>
      <c r="B318" t="s">
        <v>17</v>
      </c>
      <c r="C318" t="s">
        <v>17</v>
      </c>
      <c r="D318">
        <v>60000</v>
      </c>
      <c r="E318" t="str">
        <f>IF(Sales_Data[[#This Row],[Income]]&lt;=20000,"Low Income",IF(Sales_Data[[#This Row],[Income]]&lt;=40000,"Lower Middle",IF(Sales_Data[[#This Row],[Income]]&lt;=60000,"Middle Income",IF(Sales_Data[[#This Row],[Income]]&lt;=80000,"Upper Middle","High Income"))))</f>
        <v>Middle Income</v>
      </c>
      <c r="F318">
        <v>4</v>
      </c>
      <c r="G318" t="s">
        <v>19</v>
      </c>
      <c r="H318" t="s">
        <v>46</v>
      </c>
      <c r="I318" t="s">
        <v>21</v>
      </c>
      <c r="J318">
        <v>2</v>
      </c>
      <c r="K318" t="s">
        <v>53</v>
      </c>
      <c r="L318" t="s">
        <v>63</v>
      </c>
      <c r="M318">
        <v>60</v>
      </c>
      <c r="N318" t="s">
        <v>24</v>
      </c>
      <c r="O318" t="s">
        <v>25</v>
      </c>
      <c r="P318" s="2">
        <v>7103.23</v>
      </c>
      <c r="Q318" t="s">
        <v>60</v>
      </c>
      <c r="R318" s="1">
        <v>45253</v>
      </c>
      <c r="S318" s="1"/>
    </row>
    <row r="319" spans="1:19" x14ac:dyDescent="0.3">
      <c r="A319">
        <v>11165</v>
      </c>
      <c r="B319" t="s">
        <v>17</v>
      </c>
      <c r="C319" t="s">
        <v>18</v>
      </c>
      <c r="D319">
        <v>60000</v>
      </c>
      <c r="E319" t="str">
        <f>IF(Sales_Data[[#This Row],[Income]]&lt;=20000,"Low Income",IF(Sales_Data[[#This Row],[Income]]&lt;=40000,"Lower Middle",IF(Sales_Data[[#This Row],[Income]]&lt;=60000,"Middle Income",IF(Sales_Data[[#This Row],[Income]]&lt;=80000,"Upper Middle","High Income"))))</f>
        <v>Middle Income</v>
      </c>
      <c r="F319">
        <v>0</v>
      </c>
      <c r="G319" t="s">
        <v>27</v>
      </c>
      <c r="H319" t="s">
        <v>20</v>
      </c>
      <c r="I319" t="s">
        <v>32</v>
      </c>
      <c r="J319">
        <v>1</v>
      </c>
      <c r="K319" t="s">
        <v>43</v>
      </c>
      <c r="L319" t="s">
        <v>63</v>
      </c>
      <c r="M319">
        <v>33</v>
      </c>
      <c r="N319" t="s">
        <v>24</v>
      </c>
      <c r="O319" t="s">
        <v>25</v>
      </c>
      <c r="P319" s="2">
        <v>6053.83</v>
      </c>
      <c r="Q319" t="s">
        <v>59</v>
      </c>
      <c r="R319" s="1">
        <v>45042</v>
      </c>
      <c r="S319" s="1"/>
    </row>
    <row r="320" spans="1:19" x14ac:dyDescent="0.3">
      <c r="A320">
        <v>29133</v>
      </c>
      <c r="B320" t="s">
        <v>35</v>
      </c>
      <c r="C320" t="s">
        <v>18</v>
      </c>
      <c r="D320">
        <v>60000</v>
      </c>
      <c r="E320" t="str">
        <f>IF(Sales_Data[[#This Row],[Income]]&lt;=20000,"Low Income",IF(Sales_Data[[#This Row],[Income]]&lt;=40000,"Lower Middle",IF(Sales_Data[[#This Row],[Income]]&lt;=60000,"Middle Income",IF(Sales_Data[[#This Row],[Income]]&lt;=80000,"Upper Middle","High Income"))))</f>
        <v>Middle Income</v>
      </c>
      <c r="F320">
        <v>4</v>
      </c>
      <c r="G320" t="s">
        <v>19</v>
      </c>
      <c r="H320" t="s">
        <v>20</v>
      </c>
      <c r="I320" t="s">
        <v>32</v>
      </c>
      <c r="J320">
        <v>2</v>
      </c>
      <c r="K320" t="s">
        <v>22</v>
      </c>
      <c r="L320" t="s">
        <v>63</v>
      </c>
      <c r="M320">
        <v>42</v>
      </c>
      <c r="N320" t="s">
        <v>38</v>
      </c>
      <c r="O320" t="s">
        <v>39</v>
      </c>
      <c r="P320" s="2">
        <v>8150.95</v>
      </c>
      <c r="Q320" t="s">
        <v>57</v>
      </c>
      <c r="R320" s="1">
        <v>45225</v>
      </c>
      <c r="S320" s="1"/>
    </row>
    <row r="321" spans="1:19" x14ac:dyDescent="0.3">
      <c r="A321">
        <v>27673</v>
      </c>
      <c r="B321" t="s">
        <v>35</v>
      </c>
      <c r="C321" t="s">
        <v>18</v>
      </c>
      <c r="D321">
        <v>60000</v>
      </c>
      <c r="E321" t="str">
        <f>IF(Sales_Data[[#This Row],[Income]]&lt;=20000,"Low Income",IF(Sales_Data[[#This Row],[Income]]&lt;=40000,"Lower Middle",IF(Sales_Data[[#This Row],[Income]]&lt;=60000,"Middle Income",IF(Sales_Data[[#This Row],[Income]]&lt;=80000,"Upper Middle","High Income"))))</f>
        <v>Middle Income</v>
      </c>
      <c r="F321">
        <v>3</v>
      </c>
      <c r="G321" t="s">
        <v>61</v>
      </c>
      <c r="H321" t="s">
        <v>46</v>
      </c>
      <c r="I321" t="s">
        <v>21</v>
      </c>
      <c r="J321">
        <v>2</v>
      </c>
      <c r="K321" t="s">
        <v>36</v>
      </c>
      <c r="L321" t="s">
        <v>63</v>
      </c>
      <c r="M321">
        <v>53</v>
      </c>
      <c r="N321" t="s">
        <v>38</v>
      </c>
      <c r="O321" t="s">
        <v>41</v>
      </c>
      <c r="P321" s="2">
        <v>9671.52</v>
      </c>
      <c r="Q321" t="s">
        <v>60</v>
      </c>
      <c r="R321" s="1">
        <v>45237</v>
      </c>
      <c r="S321" s="1"/>
    </row>
    <row r="322" spans="1:19" x14ac:dyDescent="0.3">
      <c r="A322">
        <v>11699</v>
      </c>
      <c r="B322" t="s">
        <v>35</v>
      </c>
      <c r="C322" t="s">
        <v>17</v>
      </c>
      <c r="D322">
        <v>60000</v>
      </c>
      <c r="E322" t="str">
        <f>IF(Sales_Data[[#This Row],[Income]]&lt;=20000,"Low Income",IF(Sales_Data[[#This Row],[Income]]&lt;=40000,"Lower Middle",IF(Sales_Data[[#This Row],[Income]]&lt;=60000,"Middle Income",IF(Sales_Data[[#This Row],[Income]]&lt;=80000,"Upper Middle","High Income"))))</f>
        <v>Middle Income</v>
      </c>
      <c r="F322">
        <v>0</v>
      </c>
      <c r="G322" t="s">
        <v>19</v>
      </c>
      <c r="H322" t="s">
        <v>20</v>
      </c>
      <c r="I322" t="s">
        <v>32</v>
      </c>
      <c r="J322">
        <v>2</v>
      </c>
      <c r="K322" t="s">
        <v>22</v>
      </c>
      <c r="L322" t="s">
        <v>63</v>
      </c>
      <c r="M322">
        <v>30</v>
      </c>
      <c r="N322" t="s">
        <v>24</v>
      </c>
      <c r="O322" t="s">
        <v>25</v>
      </c>
      <c r="P322" s="2">
        <v>9530.18</v>
      </c>
      <c r="Q322" t="s">
        <v>30</v>
      </c>
      <c r="R322" s="1">
        <v>44994</v>
      </c>
      <c r="S322" s="1"/>
    </row>
    <row r="323" spans="1:19" x14ac:dyDescent="0.3">
      <c r="A323">
        <v>23144</v>
      </c>
      <c r="B323" t="s">
        <v>17</v>
      </c>
      <c r="C323" t="s">
        <v>17</v>
      </c>
      <c r="D323">
        <v>50000</v>
      </c>
      <c r="E323" t="str">
        <f>IF(Sales_Data[[#This Row],[Income]]&lt;=20000,"Low Income",IF(Sales_Data[[#This Row],[Income]]&lt;=40000,"Lower Middle",IF(Sales_Data[[#This Row],[Income]]&lt;=60000,"Middle Income",IF(Sales_Data[[#This Row],[Income]]&lt;=80000,"Upper Middle","High Income"))))</f>
        <v>Middle Income</v>
      </c>
      <c r="F323">
        <v>1</v>
      </c>
      <c r="G323" t="s">
        <v>19</v>
      </c>
      <c r="H323" t="s">
        <v>20</v>
      </c>
      <c r="I323" t="s">
        <v>21</v>
      </c>
      <c r="J323">
        <v>0</v>
      </c>
      <c r="K323" t="s">
        <v>22</v>
      </c>
      <c r="L323" t="s">
        <v>63</v>
      </c>
      <c r="M323">
        <v>34</v>
      </c>
      <c r="N323" t="s">
        <v>38</v>
      </c>
      <c r="O323" t="s">
        <v>62</v>
      </c>
      <c r="P323" s="2">
        <v>6815.11</v>
      </c>
      <c r="Q323" t="s">
        <v>56</v>
      </c>
      <c r="R323" s="1">
        <v>45193</v>
      </c>
      <c r="S323" s="1"/>
    </row>
    <row r="324" spans="1:19" x14ac:dyDescent="0.3">
      <c r="A324">
        <v>25970</v>
      </c>
      <c r="B324" t="s">
        <v>35</v>
      </c>
      <c r="C324" t="s">
        <v>18</v>
      </c>
      <c r="D324">
        <v>60000</v>
      </c>
      <c r="E324" t="str">
        <f>IF(Sales_Data[[#This Row],[Income]]&lt;=20000,"Low Income",IF(Sales_Data[[#This Row],[Income]]&lt;=40000,"Lower Middle",IF(Sales_Data[[#This Row],[Income]]&lt;=60000,"Middle Income",IF(Sales_Data[[#This Row],[Income]]&lt;=80000,"Upper Middle","High Income"))))</f>
        <v>Middle Income</v>
      </c>
      <c r="F324">
        <v>4</v>
      </c>
      <c r="G324" t="s">
        <v>19</v>
      </c>
      <c r="H324" t="s">
        <v>20</v>
      </c>
      <c r="I324" t="s">
        <v>32</v>
      </c>
      <c r="J324">
        <v>2</v>
      </c>
      <c r="K324" t="s">
        <v>22</v>
      </c>
      <c r="L324" t="s">
        <v>63</v>
      </c>
      <c r="M324">
        <v>41</v>
      </c>
      <c r="N324" t="s">
        <v>24</v>
      </c>
      <c r="O324" t="s">
        <v>29</v>
      </c>
      <c r="P324" s="2">
        <v>1570.57</v>
      </c>
      <c r="Q324" t="s">
        <v>56</v>
      </c>
      <c r="R324" s="1">
        <v>45184</v>
      </c>
      <c r="S324" s="1"/>
    </row>
    <row r="325" spans="1:19" x14ac:dyDescent="0.3">
      <c r="A325">
        <v>29112</v>
      </c>
      <c r="B325" t="s">
        <v>35</v>
      </c>
      <c r="C325" t="s">
        <v>17</v>
      </c>
      <c r="D325">
        <v>60000</v>
      </c>
      <c r="E325" t="str">
        <f>IF(Sales_Data[[#This Row],[Income]]&lt;=20000,"Low Income",IF(Sales_Data[[#This Row],[Income]]&lt;=40000,"Lower Middle",IF(Sales_Data[[#This Row],[Income]]&lt;=60000,"Middle Income",IF(Sales_Data[[#This Row],[Income]]&lt;=80000,"Upper Middle","High Income"))))</f>
        <v>Middle Income</v>
      </c>
      <c r="F325">
        <v>0</v>
      </c>
      <c r="G325" t="s">
        <v>27</v>
      </c>
      <c r="H325" t="s">
        <v>31</v>
      </c>
      <c r="I325" t="s">
        <v>32</v>
      </c>
      <c r="J325">
        <v>2</v>
      </c>
      <c r="K325" t="s">
        <v>43</v>
      </c>
      <c r="L325" t="s">
        <v>63</v>
      </c>
      <c r="M325">
        <v>30</v>
      </c>
      <c r="N325" t="s">
        <v>38</v>
      </c>
      <c r="O325" t="s">
        <v>39</v>
      </c>
      <c r="P325" s="2">
        <v>7887.94</v>
      </c>
      <c r="Q325" t="s">
        <v>57</v>
      </c>
      <c r="R325" s="1">
        <v>45208</v>
      </c>
      <c r="S325" s="1"/>
    </row>
    <row r="326" spans="1:19" x14ac:dyDescent="0.3">
      <c r="A326">
        <v>11619</v>
      </c>
      <c r="B326" t="s">
        <v>35</v>
      </c>
      <c r="C326" t="s">
        <v>18</v>
      </c>
      <c r="D326">
        <v>50000</v>
      </c>
      <c r="E326" t="str">
        <f>IF(Sales_Data[[#This Row],[Income]]&lt;=20000,"Low Income",IF(Sales_Data[[#This Row],[Income]]&lt;=40000,"Lower Middle",IF(Sales_Data[[#This Row],[Income]]&lt;=60000,"Middle Income",IF(Sales_Data[[#This Row],[Income]]&lt;=80000,"Upper Middle","High Income"))))</f>
        <v>Middle Income</v>
      </c>
      <c r="F326">
        <v>0</v>
      </c>
      <c r="G326" t="s">
        <v>61</v>
      </c>
      <c r="H326" t="s">
        <v>20</v>
      </c>
      <c r="I326" t="s">
        <v>21</v>
      </c>
      <c r="J326">
        <v>0</v>
      </c>
      <c r="K326" t="s">
        <v>43</v>
      </c>
      <c r="L326" t="s">
        <v>63</v>
      </c>
      <c r="M326">
        <v>33</v>
      </c>
      <c r="N326" t="s">
        <v>24</v>
      </c>
      <c r="O326" t="s">
        <v>25</v>
      </c>
      <c r="P326" s="2">
        <v>7326.36</v>
      </c>
      <c r="Q326" t="s">
        <v>57</v>
      </c>
      <c r="R326" s="1">
        <v>45215</v>
      </c>
      <c r="S326" s="1"/>
    </row>
    <row r="327" spans="1:19" x14ac:dyDescent="0.3">
      <c r="A327">
        <v>20296</v>
      </c>
      <c r="B327" t="s">
        <v>35</v>
      </c>
      <c r="C327" t="s">
        <v>18</v>
      </c>
      <c r="D327">
        <v>60000</v>
      </c>
      <c r="E327" t="str">
        <f>IF(Sales_Data[[#This Row],[Income]]&lt;=20000,"Low Income",IF(Sales_Data[[#This Row],[Income]]&lt;=40000,"Lower Middle",IF(Sales_Data[[#This Row],[Income]]&lt;=60000,"Middle Income",IF(Sales_Data[[#This Row],[Income]]&lt;=80000,"Upper Middle","High Income"))))</f>
        <v>Middle Income</v>
      </c>
      <c r="F327">
        <v>0</v>
      </c>
      <c r="G327" t="s">
        <v>27</v>
      </c>
      <c r="H327" t="s">
        <v>20</v>
      </c>
      <c r="I327" t="s">
        <v>32</v>
      </c>
      <c r="J327">
        <v>1</v>
      </c>
      <c r="K327" t="s">
        <v>43</v>
      </c>
      <c r="L327" t="s">
        <v>63</v>
      </c>
      <c r="M327">
        <v>33</v>
      </c>
      <c r="N327" t="s">
        <v>38</v>
      </c>
      <c r="O327" t="s">
        <v>62</v>
      </c>
      <c r="P327" s="2">
        <v>9451.5300000000007</v>
      </c>
      <c r="Q327" t="s">
        <v>44</v>
      </c>
      <c r="R327" s="1">
        <v>44949</v>
      </c>
      <c r="S327" s="1"/>
    </row>
    <row r="328" spans="1:19" x14ac:dyDescent="0.3">
      <c r="A328">
        <v>23358</v>
      </c>
      <c r="B328" t="s">
        <v>17</v>
      </c>
      <c r="C328" t="s">
        <v>17</v>
      </c>
      <c r="D328">
        <v>60000</v>
      </c>
      <c r="E328" t="str">
        <f>IF(Sales_Data[[#This Row],[Income]]&lt;=20000,"Low Income",IF(Sales_Data[[#This Row],[Income]]&lt;=40000,"Lower Middle",IF(Sales_Data[[#This Row],[Income]]&lt;=60000,"Middle Income",IF(Sales_Data[[#This Row],[Income]]&lt;=80000,"Upper Middle","High Income"))))</f>
        <v>Middle Income</v>
      </c>
      <c r="F328">
        <v>0</v>
      </c>
      <c r="G328" t="s">
        <v>45</v>
      </c>
      <c r="H328" t="s">
        <v>31</v>
      </c>
      <c r="I328" t="s">
        <v>21</v>
      </c>
      <c r="J328">
        <v>2</v>
      </c>
      <c r="K328" t="s">
        <v>36</v>
      </c>
      <c r="L328" t="s">
        <v>63</v>
      </c>
      <c r="M328">
        <v>32</v>
      </c>
      <c r="N328" t="s">
        <v>24</v>
      </c>
      <c r="O328" t="s">
        <v>49</v>
      </c>
      <c r="P328" s="2">
        <v>8051.67</v>
      </c>
      <c r="Q328" t="s">
        <v>48</v>
      </c>
      <c r="R328" s="1">
        <v>45143</v>
      </c>
      <c r="S328" s="1"/>
    </row>
    <row r="329" spans="1:19" x14ac:dyDescent="0.3">
      <c r="A329">
        <v>27090</v>
      </c>
      <c r="B329" t="s">
        <v>17</v>
      </c>
      <c r="C329" t="s">
        <v>18</v>
      </c>
      <c r="D329">
        <v>60000</v>
      </c>
      <c r="E329" t="str">
        <f>IF(Sales_Data[[#This Row],[Income]]&lt;=20000,"Low Income",IF(Sales_Data[[#This Row],[Income]]&lt;=40000,"Lower Middle",IF(Sales_Data[[#This Row],[Income]]&lt;=60000,"Middle Income",IF(Sales_Data[[#This Row],[Income]]&lt;=80000,"Upper Middle","High Income"))))</f>
        <v>Middle Income</v>
      </c>
      <c r="F329">
        <v>1</v>
      </c>
      <c r="G329" t="s">
        <v>61</v>
      </c>
      <c r="H329" t="s">
        <v>31</v>
      </c>
      <c r="I329" t="s">
        <v>21</v>
      </c>
      <c r="J329">
        <v>0</v>
      </c>
      <c r="K329" t="s">
        <v>33</v>
      </c>
      <c r="L329" t="s">
        <v>63</v>
      </c>
      <c r="M329">
        <v>37</v>
      </c>
      <c r="N329" t="s">
        <v>38</v>
      </c>
      <c r="O329" t="s">
        <v>62</v>
      </c>
      <c r="P329" s="2">
        <v>3329.92</v>
      </c>
      <c r="Q329" t="s">
        <v>56</v>
      </c>
      <c r="R329" s="1">
        <v>45170</v>
      </c>
      <c r="S329" s="1"/>
    </row>
    <row r="330" spans="1:19" x14ac:dyDescent="0.3">
      <c r="A330">
        <v>11886</v>
      </c>
      <c r="B330" t="s">
        <v>17</v>
      </c>
      <c r="C330" t="s">
        <v>18</v>
      </c>
      <c r="D330">
        <v>60000</v>
      </c>
      <c r="E330" t="str">
        <f>IF(Sales_Data[[#This Row],[Income]]&lt;=20000,"Low Income",IF(Sales_Data[[#This Row],[Income]]&lt;=40000,"Lower Middle",IF(Sales_Data[[#This Row],[Income]]&lt;=60000,"Middle Income",IF(Sales_Data[[#This Row],[Income]]&lt;=80000,"Upper Middle","High Income"))))</f>
        <v>Middle Income</v>
      </c>
      <c r="F330">
        <v>3</v>
      </c>
      <c r="G330" t="s">
        <v>19</v>
      </c>
      <c r="H330" t="s">
        <v>31</v>
      </c>
      <c r="I330" t="s">
        <v>21</v>
      </c>
      <c r="J330">
        <v>1</v>
      </c>
      <c r="K330" t="s">
        <v>22</v>
      </c>
      <c r="L330" t="s">
        <v>63</v>
      </c>
      <c r="M330">
        <v>48</v>
      </c>
      <c r="N330" t="s">
        <v>24</v>
      </c>
      <c r="O330" t="s">
        <v>55</v>
      </c>
      <c r="P330" s="2">
        <v>944.89</v>
      </c>
      <c r="Q330" t="s">
        <v>40</v>
      </c>
      <c r="R330" s="1">
        <v>45049</v>
      </c>
      <c r="S330" s="1"/>
    </row>
    <row r="331" spans="1:19" x14ac:dyDescent="0.3">
      <c r="A331">
        <v>24324</v>
      </c>
      <c r="B331" t="s">
        <v>35</v>
      </c>
      <c r="C331" t="s">
        <v>18</v>
      </c>
      <c r="D331">
        <v>60000</v>
      </c>
      <c r="E331" t="str">
        <f>IF(Sales_Data[[#This Row],[Income]]&lt;=20000,"Low Income",IF(Sales_Data[[#This Row],[Income]]&lt;=40000,"Lower Middle",IF(Sales_Data[[#This Row],[Income]]&lt;=60000,"Middle Income",IF(Sales_Data[[#This Row],[Income]]&lt;=80000,"Upper Middle","High Income"))))</f>
        <v>Middle Income</v>
      </c>
      <c r="F331">
        <v>4</v>
      </c>
      <c r="G331" t="s">
        <v>19</v>
      </c>
      <c r="H331" t="s">
        <v>20</v>
      </c>
      <c r="I331" t="s">
        <v>21</v>
      </c>
      <c r="J331">
        <v>2</v>
      </c>
      <c r="K331" t="s">
        <v>33</v>
      </c>
      <c r="L331" t="s">
        <v>63</v>
      </c>
      <c r="M331">
        <v>41</v>
      </c>
      <c r="N331" t="s">
        <v>24</v>
      </c>
      <c r="O331" t="s">
        <v>49</v>
      </c>
      <c r="P331" s="2">
        <v>8815.0499999999993</v>
      </c>
      <c r="Q331" t="s">
        <v>48</v>
      </c>
      <c r="R331" s="1">
        <v>45148</v>
      </c>
      <c r="S331" s="1"/>
    </row>
    <row r="332" spans="1:19" x14ac:dyDescent="0.3">
      <c r="A332">
        <v>22220</v>
      </c>
      <c r="B332" t="s">
        <v>17</v>
      </c>
      <c r="C332" t="s">
        <v>17</v>
      </c>
      <c r="D332">
        <v>60000</v>
      </c>
      <c r="E332" t="str">
        <f>IF(Sales_Data[[#This Row],[Income]]&lt;=20000,"Low Income",IF(Sales_Data[[#This Row],[Income]]&lt;=40000,"Lower Middle",IF(Sales_Data[[#This Row],[Income]]&lt;=60000,"Middle Income",IF(Sales_Data[[#This Row],[Income]]&lt;=80000,"Upper Middle","High Income"))))</f>
        <v>Middle Income</v>
      </c>
      <c r="F332">
        <v>2</v>
      </c>
      <c r="G332" t="s">
        <v>45</v>
      </c>
      <c r="H332" t="s">
        <v>31</v>
      </c>
      <c r="I332" t="s">
        <v>32</v>
      </c>
      <c r="J332">
        <v>2</v>
      </c>
      <c r="K332" t="s">
        <v>43</v>
      </c>
      <c r="L332" t="s">
        <v>63</v>
      </c>
      <c r="M332">
        <v>49</v>
      </c>
      <c r="N332" t="s">
        <v>24</v>
      </c>
      <c r="O332" t="s">
        <v>34</v>
      </c>
      <c r="P332" s="2">
        <v>6458.43</v>
      </c>
      <c r="Q332" t="s">
        <v>26</v>
      </c>
      <c r="R332" s="1">
        <v>45273</v>
      </c>
      <c r="S332" s="1"/>
    </row>
    <row r="333" spans="1:19" x14ac:dyDescent="0.3">
      <c r="A333">
        <v>26625</v>
      </c>
      <c r="B333" t="s">
        <v>35</v>
      </c>
      <c r="C333" t="s">
        <v>18</v>
      </c>
      <c r="D333">
        <v>60000</v>
      </c>
      <c r="E333" t="str">
        <f>IF(Sales_Data[[#This Row],[Income]]&lt;=20000,"Low Income",IF(Sales_Data[[#This Row],[Income]]&lt;=40000,"Lower Middle",IF(Sales_Data[[#This Row],[Income]]&lt;=60000,"Middle Income",IF(Sales_Data[[#This Row],[Income]]&lt;=80000,"Upper Middle","High Income"))))</f>
        <v>Middle Income</v>
      </c>
      <c r="F333">
        <v>0</v>
      </c>
      <c r="G333" t="s">
        <v>61</v>
      </c>
      <c r="H333" t="s">
        <v>31</v>
      </c>
      <c r="I333" t="s">
        <v>21</v>
      </c>
      <c r="J333">
        <v>1</v>
      </c>
      <c r="K333" t="s">
        <v>33</v>
      </c>
      <c r="L333" t="s">
        <v>63</v>
      </c>
      <c r="M333">
        <v>38</v>
      </c>
      <c r="N333" t="s">
        <v>38</v>
      </c>
      <c r="O333" t="s">
        <v>62</v>
      </c>
      <c r="P333" s="2">
        <v>9614.8799999999992</v>
      </c>
      <c r="Q333" t="s">
        <v>48</v>
      </c>
      <c r="R333" s="1">
        <v>45140</v>
      </c>
      <c r="S333" s="1"/>
    </row>
    <row r="334" spans="1:19" x14ac:dyDescent="0.3">
      <c r="A334">
        <v>11225</v>
      </c>
      <c r="B334" t="s">
        <v>17</v>
      </c>
      <c r="C334" t="s">
        <v>18</v>
      </c>
      <c r="D334">
        <v>60000</v>
      </c>
      <c r="E334" t="str">
        <f>IF(Sales_Data[[#This Row],[Income]]&lt;=20000,"Low Income",IF(Sales_Data[[#This Row],[Income]]&lt;=40000,"Lower Middle",IF(Sales_Data[[#This Row],[Income]]&lt;=60000,"Middle Income",IF(Sales_Data[[#This Row],[Income]]&lt;=80000,"Upper Middle","High Income"))))</f>
        <v>Middle Income</v>
      </c>
      <c r="F334">
        <v>2</v>
      </c>
      <c r="G334" t="s">
        <v>27</v>
      </c>
      <c r="H334" t="s">
        <v>31</v>
      </c>
      <c r="I334" t="s">
        <v>21</v>
      </c>
      <c r="J334">
        <v>1</v>
      </c>
      <c r="K334" t="s">
        <v>53</v>
      </c>
      <c r="L334" t="s">
        <v>63</v>
      </c>
      <c r="M334">
        <v>55</v>
      </c>
      <c r="N334" t="s">
        <v>24</v>
      </c>
      <c r="O334" t="s">
        <v>25</v>
      </c>
      <c r="P334" s="2">
        <v>8064.33</v>
      </c>
      <c r="Q334" t="s">
        <v>60</v>
      </c>
      <c r="R334" s="1">
        <v>45251</v>
      </c>
      <c r="S334" s="1"/>
    </row>
    <row r="335" spans="1:19" x14ac:dyDescent="0.3">
      <c r="A335">
        <v>12452</v>
      </c>
      <c r="B335" t="s">
        <v>17</v>
      </c>
      <c r="C335" t="s">
        <v>17</v>
      </c>
      <c r="D335">
        <v>60000</v>
      </c>
      <c r="E335" t="str">
        <f>IF(Sales_Data[[#This Row],[Income]]&lt;=20000,"Low Income",IF(Sales_Data[[#This Row],[Income]]&lt;=40000,"Lower Middle",IF(Sales_Data[[#This Row],[Income]]&lt;=60000,"Middle Income",IF(Sales_Data[[#This Row],[Income]]&lt;=80000,"Upper Middle","High Income"))))</f>
        <v>Middle Income</v>
      </c>
      <c r="F335">
        <v>4</v>
      </c>
      <c r="G335" t="s">
        <v>61</v>
      </c>
      <c r="H335" t="s">
        <v>20</v>
      </c>
      <c r="I335" t="s">
        <v>21</v>
      </c>
      <c r="J335">
        <v>0</v>
      </c>
      <c r="K335" t="s">
        <v>43</v>
      </c>
      <c r="L335" t="s">
        <v>63</v>
      </c>
      <c r="M335">
        <v>47</v>
      </c>
      <c r="N335" t="s">
        <v>24</v>
      </c>
      <c r="O335" t="s">
        <v>29</v>
      </c>
      <c r="P335" s="2">
        <v>7822.12</v>
      </c>
      <c r="Q335" t="s">
        <v>57</v>
      </c>
      <c r="R335" s="1">
        <v>45209</v>
      </c>
      <c r="S335" s="1"/>
    </row>
    <row r="336" spans="1:19" x14ac:dyDescent="0.3">
      <c r="A336">
        <v>28043</v>
      </c>
      <c r="B336" t="s">
        <v>17</v>
      </c>
      <c r="C336" t="s">
        <v>18</v>
      </c>
      <c r="D336">
        <v>60000</v>
      </c>
      <c r="E336" t="str">
        <f>IF(Sales_Data[[#This Row],[Income]]&lt;=20000,"Low Income",IF(Sales_Data[[#This Row],[Income]]&lt;=40000,"Lower Middle",IF(Sales_Data[[#This Row],[Income]]&lt;=60000,"Middle Income",IF(Sales_Data[[#This Row],[Income]]&lt;=80000,"Upper Middle","High Income"))))</f>
        <v>Middle Income</v>
      </c>
      <c r="F336">
        <v>2</v>
      </c>
      <c r="G336" t="s">
        <v>19</v>
      </c>
      <c r="H336" t="s">
        <v>46</v>
      </c>
      <c r="I336" t="s">
        <v>21</v>
      </c>
      <c r="J336">
        <v>0</v>
      </c>
      <c r="K336" t="s">
        <v>53</v>
      </c>
      <c r="L336" t="s">
        <v>63</v>
      </c>
      <c r="M336">
        <v>56</v>
      </c>
      <c r="N336" t="s">
        <v>24</v>
      </c>
      <c r="O336" t="s">
        <v>25</v>
      </c>
      <c r="P336" s="2">
        <v>9837.16</v>
      </c>
      <c r="Q336" t="s">
        <v>52</v>
      </c>
      <c r="R336" s="1">
        <v>44972</v>
      </c>
      <c r="S336" s="1"/>
    </row>
    <row r="337" spans="1:19" x14ac:dyDescent="0.3">
      <c r="A337">
        <v>11801</v>
      </c>
      <c r="B337" t="s">
        <v>17</v>
      </c>
      <c r="C337" t="s">
        <v>17</v>
      </c>
      <c r="D337">
        <v>60000</v>
      </c>
      <c r="E337" t="str">
        <f>IF(Sales_Data[[#This Row],[Income]]&lt;=20000,"Low Income",IF(Sales_Data[[#This Row],[Income]]&lt;=40000,"Lower Middle",IF(Sales_Data[[#This Row],[Income]]&lt;=60000,"Middle Income",IF(Sales_Data[[#This Row],[Income]]&lt;=80000,"Upper Middle","High Income"))))</f>
        <v>Middle Income</v>
      </c>
      <c r="F337">
        <v>1</v>
      </c>
      <c r="G337" t="s">
        <v>61</v>
      </c>
      <c r="H337" t="s">
        <v>31</v>
      </c>
      <c r="I337" t="s">
        <v>21</v>
      </c>
      <c r="J337">
        <v>0</v>
      </c>
      <c r="K337" t="s">
        <v>33</v>
      </c>
      <c r="L337" t="s">
        <v>63</v>
      </c>
      <c r="M337">
        <v>36</v>
      </c>
      <c r="N337" t="s">
        <v>24</v>
      </c>
      <c r="O337" t="s">
        <v>25</v>
      </c>
      <c r="P337" s="2">
        <v>8527.99</v>
      </c>
      <c r="Q337" t="s">
        <v>30</v>
      </c>
      <c r="R337" s="1">
        <v>45001</v>
      </c>
      <c r="S337" s="1"/>
    </row>
    <row r="338" spans="1:19" x14ac:dyDescent="0.3">
      <c r="A338">
        <v>22211</v>
      </c>
      <c r="B338" t="s">
        <v>17</v>
      </c>
      <c r="C338" t="s">
        <v>17</v>
      </c>
      <c r="D338">
        <v>60000</v>
      </c>
      <c r="E338" t="str">
        <f>IF(Sales_Data[[#This Row],[Income]]&lt;=20000,"Low Income",IF(Sales_Data[[#This Row],[Income]]&lt;=40000,"Lower Middle",IF(Sales_Data[[#This Row],[Income]]&lt;=60000,"Middle Income",IF(Sales_Data[[#This Row],[Income]]&lt;=80000,"Upper Middle","High Income"))))</f>
        <v>Middle Income</v>
      </c>
      <c r="F338">
        <v>0</v>
      </c>
      <c r="G338" t="s">
        <v>27</v>
      </c>
      <c r="H338" t="s">
        <v>31</v>
      </c>
      <c r="I338" t="s">
        <v>21</v>
      </c>
      <c r="J338">
        <v>2</v>
      </c>
      <c r="K338" t="s">
        <v>36</v>
      </c>
      <c r="L338" t="s">
        <v>63</v>
      </c>
      <c r="M338">
        <v>32</v>
      </c>
      <c r="N338" t="s">
        <v>24</v>
      </c>
      <c r="O338" t="s">
        <v>25</v>
      </c>
      <c r="P338" s="2">
        <v>7716.4</v>
      </c>
      <c r="Q338" t="s">
        <v>26</v>
      </c>
      <c r="R338" s="1">
        <v>45287</v>
      </c>
      <c r="S338" s="1"/>
    </row>
    <row r="339" spans="1:19" x14ac:dyDescent="0.3">
      <c r="A339">
        <v>27441</v>
      </c>
      <c r="B339" t="s">
        <v>17</v>
      </c>
      <c r="C339" t="s">
        <v>17</v>
      </c>
      <c r="D339">
        <v>60000</v>
      </c>
      <c r="E339" t="str">
        <f>IF(Sales_Data[[#This Row],[Income]]&lt;=20000,"Low Income",IF(Sales_Data[[#This Row],[Income]]&lt;=40000,"Lower Middle",IF(Sales_Data[[#This Row],[Income]]&lt;=60000,"Middle Income",IF(Sales_Data[[#This Row],[Income]]&lt;=80000,"Upper Middle","High Income"))))</f>
        <v>Middle Income</v>
      </c>
      <c r="F339">
        <v>3</v>
      </c>
      <c r="G339" t="s">
        <v>45</v>
      </c>
      <c r="H339" t="s">
        <v>31</v>
      </c>
      <c r="I339" t="s">
        <v>32</v>
      </c>
      <c r="J339">
        <v>2</v>
      </c>
      <c r="K339" t="s">
        <v>33</v>
      </c>
      <c r="L339" t="s">
        <v>63</v>
      </c>
      <c r="M339">
        <v>53</v>
      </c>
      <c r="N339" t="s">
        <v>24</v>
      </c>
      <c r="O339" t="s">
        <v>55</v>
      </c>
      <c r="P339" s="2">
        <v>1850.69</v>
      </c>
      <c r="Q339" t="s">
        <v>57</v>
      </c>
      <c r="R339" s="1">
        <v>45212</v>
      </c>
      <c r="S339" s="1"/>
    </row>
    <row r="340" spans="1:19" x14ac:dyDescent="0.3">
      <c r="A340">
        <v>23217</v>
      </c>
      <c r="B340" t="s">
        <v>35</v>
      </c>
      <c r="C340" t="s">
        <v>18</v>
      </c>
      <c r="D340">
        <v>60000</v>
      </c>
      <c r="E340" t="str">
        <f>IF(Sales_Data[[#This Row],[Income]]&lt;=20000,"Low Income",IF(Sales_Data[[#This Row],[Income]]&lt;=40000,"Lower Middle",IF(Sales_Data[[#This Row],[Income]]&lt;=60000,"Middle Income",IF(Sales_Data[[#This Row],[Income]]&lt;=80000,"Upper Middle","High Income"))))</f>
        <v>Middle Income</v>
      </c>
      <c r="F340">
        <v>3</v>
      </c>
      <c r="G340" t="s">
        <v>61</v>
      </c>
      <c r="H340" t="s">
        <v>31</v>
      </c>
      <c r="I340" t="s">
        <v>21</v>
      </c>
      <c r="J340">
        <v>0</v>
      </c>
      <c r="K340" t="s">
        <v>33</v>
      </c>
      <c r="L340" t="s">
        <v>63</v>
      </c>
      <c r="M340">
        <v>43</v>
      </c>
      <c r="N340" t="s">
        <v>38</v>
      </c>
      <c r="O340" t="s">
        <v>62</v>
      </c>
      <c r="P340" s="2">
        <v>4565.4799999999996</v>
      </c>
      <c r="Q340" t="s">
        <v>59</v>
      </c>
      <c r="R340" s="1">
        <v>45024</v>
      </c>
      <c r="S340" s="1"/>
    </row>
    <row r="341" spans="1:19" x14ac:dyDescent="0.3">
      <c r="A341">
        <v>13216</v>
      </c>
      <c r="B341" t="s">
        <v>17</v>
      </c>
      <c r="C341" t="s">
        <v>18</v>
      </c>
      <c r="D341">
        <v>60000</v>
      </c>
      <c r="E341" t="str">
        <f>IF(Sales_Data[[#This Row],[Income]]&lt;=20000,"Low Income",IF(Sales_Data[[#This Row],[Income]]&lt;=40000,"Lower Middle",IF(Sales_Data[[#This Row],[Income]]&lt;=60000,"Middle Income",IF(Sales_Data[[#This Row],[Income]]&lt;=80000,"Upper Middle","High Income"))))</f>
        <v>Middle Income</v>
      </c>
      <c r="F341">
        <v>5</v>
      </c>
      <c r="G341" t="s">
        <v>19</v>
      </c>
      <c r="H341" t="s">
        <v>46</v>
      </c>
      <c r="I341" t="s">
        <v>21</v>
      </c>
      <c r="J341">
        <v>3</v>
      </c>
      <c r="K341" t="s">
        <v>53</v>
      </c>
      <c r="L341" t="s">
        <v>63</v>
      </c>
      <c r="M341">
        <v>59</v>
      </c>
      <c r="N341" t="s">
        <v>38</v>
      </c>
      <c r="O341" t="s">
        <v>54</v>
      </c>
      <c r="P341" s="2">
        <v>2261.5700000000002</v>
      </c>
      <c r="Q341" t="s">
        <v>51</v>
      </c>
      <c r="R341" s="1">
        <v>45088</v>
      </c>
      <c r="S341" s="1"/>
    </row>
    <row r="342" spans="1:19" x14ac:dyDescent="0.3">
      <c r="A342">
        <v>20657</v>
      </c>
      <c r="B342" t="s">
        <v>35</v>
      </c>
      <c r="C342" t="s">
        <v>17</v>
      </c>
      <c r="D342">
        <v>50000</v>
      </c>
      <c r="E342" t="str">
        <f>IF(Sales_Data[[#This Row],[Income]]&lt;=20000,"Low Income",IF(Sales_Data[[#This Row],[Income]]&lt;=40000,"Lower Middle",IF(Sales_Data[[#This Row],[Income]]&lt;=60000,"Middle Income",IF(Sales_Data[[#This Row],[Income]]&lt;=80000,"Upper Middle","High Income"))))</f>
        <v>Middle Income</v>
      </c>
      <c r="F342">
        <v>2</v>
      </c>
      <c r="G342" t="s">
        <v>19</v>
      </c>
      <c r="H342" t="s">
        <v>20</v>
      </c>
      <c r="I342" t="s">
        <v>21</v>
      </c>
      <c r="J342">
        <v>0</v>
      </c>
      <c r="K342" t="s">
        <v>33</v>
      </c>
      <c r="L342" t="s">
        <v>63</v>
      </c>
      <c r="M342">
        <v>37</v>
      </c>
      <c r="N342" t="s">
        <v>38</v>
      </c>
      <c r="O342" t="s">
        <v>54</v>
      </c>
      <c r="P342" s="2">
        <v>3548.79</v>
      </c>
      <c r="Q342" t="s">
        <v>52</v>
      </c>
      <c r="R342" s="1">
        <v>44979</v>
      </c>
      <c r="S342" s="1"/>
    </row>
    <row r="343" spans="1:19" x14ac:dyDescent="0.3">
      <c r="A343">
        <v>12882</v>
      </c>
      <c r="B343" t="s">
        <v>17</v>
      </c>
      <c r="C343" t="s">
        <v>17</v>
      </c>
      <c r="D343">
        <v>50000</v>
      </c>
      <c r="E343" t="str">
        <f>IF(Sales_Data[[#This Row],[Income]]&lt;=20000,"Low Income",IF(Sales_Data[[#This Row],[Income]]&lt;=40000,"Lower Middle",IF(Sales_Data[[#This Row],[Income]]&lt;=60000,"Middle Income",IF(Sales_Data[[#This Row],[Income]]&lt;=80000,"Upper Middle","High Income"))))</f>
        <v>Middle Income</v>
      </c>
      <c r="F343">
        <v>1</v>
      </c>
      <c r="G343" t="s">
        <v>61</v>
      </c>
      <c r="H343" t="s">
        <v>20</v>
      </c>
      <c r="I343" t="s">
        <v>21</v>
      </c>
      <c r="J343">
        <v>0</v>
      </c>
      <c r="K343" t="s">
        <v>22</v>
      </c>
      <c r="L343" t="s">
        <v>63</v>
      </c>
      <c r="M343">
        <v>33</v>
      </c>
      <c r="N343" t="s">
        <v>24</v>
      </c>
      <c r="O343" t="s">
        <v>49</v>
      </c>
      <c r="P343" s="2">
        <v>3788.76</v>
      </c>
      <c r="Q343" t="s">
        <v>48</v>
      </c>
      <c r="R343" s="1">
        <v>45151</v>
      </c>
      <c r="S343" s="1"/>
    </row>
    <row r="344" spans="1:19" x14ac:dyDescent="0.3">
      <c r="A344">
        <v>25908</v>
      </c>
      <c r="B344" t="s">
        <v>17</v>
      </c>
      <c r="C344" t="s">
        <v>18</v>
      </c>
      <c r="D344">
        <v>60000</v>
      </c>
      <c r="E344" t="str">
        <f>IF(Sales_Data[[#This Row],[Income]]&lt;=20000,"Low Income",IF(Sales_Data[[#This Row],[Income]]&lt;=40000,"Lower Middle",IF(Sales_Data[[#This Row],[Income]]&lt;=60000,"Middle Income",IF(Sales_Data[[#This Row],[Income]]&lt;=80000,"Upper Middle","High Income"))))</f>
        <v>Middle Income</v>
      </c>
      <c r="F344">
        <v>0</v>
      </c>
      <c r="G344" t="s">
        <v>27</v>
      </c>
      <c r="H344" t="s">
        <v>20</v>
      </c>
      <c r="I344" t="s">
        <v>32</v>
      </c>
      <c r="J344">
        <v>1</v>
      </c>
      <c r="K344" t="s">
        <v>43</v>
      </c>
      <c r="L344" t="s">
        <v>63</v>
      </c>
      <c r="M344">
        <v>27</v>
      </c>
      <c r="N344" t="s">
        <v>38</v>
      </c>
      <c r="O344" t="s">
        <v>41</v>
      </c>
      <c r="P344" s="2">
        <v>9860.1299999999992</v>
      </c>
      <c r="Q344" t="s">
        <v>56</v>
      </c>
      <c r="R344" s="1">
        <v>45175</v>
      </c>
      <c r="S344" s="1"/>
    </row>
    <row r="345" spans="1:19" x14ac:dyDescent="0.3">
      <c r="A345">
        <v>14608</v>
      </c>
      <c r="B345" t="s">
        <v>17</v>
      </c>
      <c r="C345" t="s">
        <v>17</v>
      </c>
      <c r="D345">
        <v>50000</v>
      </c>
      <c r="E345" t="str">
        <f>IF(Sales_Data[[#This Row],[Income]]&lt;=20000,"Low Income",IF(Sales_Data[[#This Row],[Income]]&lt;=40000,"Lower Middle",IF(Sales_Data[[#This Row],[Income]]&lt;=60000,"Middle Income",IF(Sales_Data[[#This Row],[Income]]&lt;=80000,"Upper Middle","High Income"))))</f>
        <v>Middle Income</v>
      </c>
      <c r="F345">
        <v>4</v>
      </c>
      <c r="G345" t="s">
        <v>19</v>
      </c>
      <c r="H345" t="s">
        <v>20</v>
      </c>
      <c r="I345" t="s">
        <v>21</v>
      </c>
      <c r="J345">
        <v>3</v>
      </c>
      <c r="K345" t="s">
        <v>53</v>
      </c>
      <c r="L345" t="s">
        <v>63</v>
      </c>
      <c r="M345">
        <v>42</v>
      </c>
      <c r="N345" t="s">
        <v>38</v>
      </c>
      <c r="O345" t="s">
        <v>47</v>
      </c>
      <c r="P345" s="2">
        <v>7245.28</v>
      </c>
      <c r="Q345" t="s">
        <v>44</v>
      </c>
      <c r="R345" s="1">
        <v>44927</v>
      </c>
      <c r="S345" s="1"/>
    </row>
    <row r="346" spans="1:19" x14ac:dyDescent="0.3">
      <c r="A346">
        <v>24979</v>
      </c>
      <c r="B346" t="s">
        <v>17</v>
      </c>
      <c r="C346" t="s">
        <v>18</v>
      </c>
      <c r="D346">
        <v>60000</v>
      </c>
      <c r="E346" t="str">
        <f>IF(Sales_Data[[#This Row],[Income]]&lt;=20000,"Low Income",IF(Sales_Data[[#This Row],[Income]]&lt;=40000,"Lower Middle",IF(Sales_Data[[#This Row],[Income]]&lt;=60000,"Middle Income",IF(Sales_Data[[#This Row],[Income]]&lt;=80000,"Upper Middle","High Income"))))</f>
        <v>Middle Income</v>
      </c>
      <c r="F346">
        <v>2</v>
      </c>
      <c r="G346" t="s">
        <v>27</v>
      </c>
      <c r="H346" t="s">
        <v>31</v>
      </c>
      <c r="I346" t="s">
        <v>21</v>
      </c>
      <c r="J346">
        <v>2</v>
      </c>
      <c r="K346" t="s">
        <v>33</v>
      </c>
      <c r="L346" t="s">
        <v>63</v>
      </c>
      <c r="M346">
        <v>57</v>
      </c>
      <c r="N346" t="s">
        <v>24</v>
      </c>
      <c r="O346" t="s">
        <v>25</v>
      </c>
      <c r="P346" s="2">
        <v>1095.05</v>
      </c>
      <c r="Q346" t="s">
        <v>40</v>
      </c>
      <c r="R346" s="1">
        <v>45066</v>
      </c>
      <c r="S346" s="1"/>
    </row>
    <row r="347" spans="1:19" x14ac:dyDescent="0.3">
      <c r="A347">
        <v>17699</v>
      </c>
      <c r="B347" t="s">
        <v>17</v>
      </c>
      <c r="C347" t="s">
        <v>17</v>
      </c>
      <c r="D347">
        <v>60000</v>
      </c>
      <c r="E347" t="str">
        <f>IF(Sales_Data[[#This Row],[Income]]&lt;=20000,"Low Income",IF(Sales_Data[[#This Row],[Income]]&lt;=40000,"Lower Middle",IF(Sales_Data[[#This Row],[Income]]&lt;=60000,"Middle Income",IF(Sales_Data[[#This Row],[Income]]&lt;=80000,"Upper Middle","High Income"))))</f>
        <v>Middle Income</v>
      </c>
      <c r="F347">
        <v>1</v>
      </c>
      <c r="G347" t="s">
        <v>61</v>
      </c>
      <c r="H347" t="s">
        <v>20</v>
      </c>
      <c r="I347" t="s">
        <v>32</v>
      </c>
      <c r="J347">
        <v>0</v>
      </c>
      <c r="K347" t="s">
        <v>22</v>
      </c>
      <c r="L347" t="s">
        <v>63</v>
      </c>
      <c r="M347">
        <v>55</v>
      </c>
      <c r="N347" t="s">
        <v>38</v>
      </c>
      <c r="O347" t="s">
        <v>54</v>
      </c>
      <c r="P347" s="2">
        <v>5148.3900000000003</v>
      </c>
      <c r="Q347" t="s">
        <v>26</v>
      </c>
      <c r="R347" s="1">
        <v>45289</v>
      </c>
      <c r="S347" s="1"/>
    </row>
    <row r="348" spans="1:19" x14ac:dyDescent="0.3">
      <c r="A348">
        <v>11540</v>
      </c>
      <c r="B348" t="s">
        <v>35</v>
      </c>
      <c r="C348" t="s">
        <v>17</v>
      </c>
      <c r="D348">
        <v>60000</v>
      </c>
      <c r="E348" t="str">
        <f>IF(Sales_Data[[#This Row],[Income]]&lt;=20000,"Low Income",IF(Sales_Data[[#This Row],[Income]]&lt;=40000,"Lower Middle",IF(Sales_Data[[#This Row],[Income]]&lt;=60000,"Middle Income",IF(Sales_Data[[#This Row],[Income]]&lt;=80000,"Upper Middle","High Income"))))</f>
        <v>Middle Income</v>
      </c>
      <c r="F348">
        <v>4</v>
      </c>
      <c r="G348" t="s">
        <v>61</v>
      </c>
      <c r="H348" t="s">
        <v>20</v>
      </c>
      <c r="I348" t="s">
        <v>21</v>
      </c>
      <c r="J348">
        <v>0</v>
      </c>
      <c r="K348" t="s">
        <v>43</v>
      </c>
      <c r="L348" t="s">
        <v>63</v>
      </c>
      <c r="M348">
        <v>47</v>
      </c>
      <c r="N348" t="s">
        <v>24</v>
      </c>
      <c r="O348" t="s">
        <v>25</v>
      </c>
      <c r="P348" s="2">
        <v>9894.4599999999991</v>
      </c>
      <c r="Q348" t="s">
        <v>60</v>
      </c>
      <c r="R348" s="1">
        <v>45254</v>
      </c>
      <c r="S348" s="1"/>
    </row>
    <row r="349" spans="1:19" x14ac:dyDescent="0.3">
      <c r="A349">
        <v>11783</v>
      </c>
      <c r="B349" t="s">
        <v>17</v>
      </c>
      <c r="C349" t="s">
        <v>18</v>
      </c>
      <c r="D349">
        <v>60000</v>
      </c>
      <c r="E349" t="str">
        <f>IF(Sales_Data[[#This Row],[Income]]&lt;=20000,"Low Income",IF(Sales_Data[[#This Row],[Income]]&lt;=40000,"Lower Middle",IF(Sales_Data[[#This Row],[Income]]&lt;=60000,"Middle Income",IF(Sales_Data[[#This Row],[Income]]&lt;=80000,"Upper Middle","High Income"))))</f>
        <v>Middle Income</v>
      </c>
      <c r="F349">
        <v>1</v>
      </c>
      <c r="G349" t="s">
        <v>61</v>
      </c>
      <c r="H349" t="s">
        <v>20</v>
      </c>
      <c r="I349" t="s">
        <v>21</v>
      </c>
      <c r="J349">
        <v>0</v>
      </c>
      <c r="K349" t="s">
        <v>22</v>
      </c>
      <c r="L349" t="s">
        <v>63</v>
      </c>
      <c r="M349">
        <v>34</v>
      </c>
      <c r="N349" t="s">
        <v>38</v>
      </c>
      <c r="O349" t="s">
        <v>41</v>
      </c>
      <c r="P349" s="2">
        <v>1996.76</v>
      </c>
      <c r="Q349" t="s">
        <v>58</v>
      </c>
      <c r="R349" s="1">
        <v>45114</v>
      </c>
      <c r="S349" s="1"/>
    </row>
    <row r="350" spans="1:19" x14ac:dyDescent="0.3">
      <c r="A350">
        <v>18105</v>
      </c>
      <c r="B350" t="s">
        <v>17</v>
      </c>
      <c r="C350" t="s">
        <v>18</v>
      </c>
      <c r="D350">
        <v>60000</v>
      </c>
      <c r="E350" t="str">
        <f>IF(Sales_Data[[#This Row],[Income]]&lt;=20000,"Low Income",IF(Sales_Data[[#This Row],[Income]]&lt;=40000,"Lower Middle",IF(Sales_Data[[#This Row],[Income]]&lt;=60000,"Middle Income",IF(Sales_Data[[#This Row],[Income]]&lt;=80000,"Upper Middle","High Income"))))</f>
        <v>Middle Income</v>
      </c>
      <c r="F350">
        <v>2</v>
      </c>
      <c r="G350" t="s">
        <v>27</v>
      </c>
      <c r="H350" t="s">
        <v>31</v>
      </c>
      <c r="I350" t="s">
        <v>21</v>
      </c>
      <c r="J350">
        <v>1</v>
      </c>
      <c r="K350" t="s">
        <v>53</v>
      </c>
      <c r="L350" t="s">
        <v>63</v>
      </c>
      <c r="M350">
        <v>55</v>
      </c>
      <c r="N350" t="s">
        <v>38</v>
      </c>
      <c r="O350" t="s">
        <v>62</v>
      </c>
      <c r="P350" s="2">
        <v>4681.72</v>
      </c>
      <c r="Q350" t="s">
        <v>57</v>
      </c>
      <c r="R350" s="1">
        <v>45229</v>
      </c>
      <c r="S350" s="1"/>
    </row>
    <row r="351" spans="1:19" x14ac:dyDescent="0.3">
      <c r="A351">
        <v>20698</v>
      </c>
      <c r="B351" t="s">
        <v>17</v>
      </c>
      <c r="C351" t="s">
        <v>17</v>
      </c>
      <c r="D351">
        <v>60000</v>
      </c>
      <c r="E351" t="str">
        <f>IF(Sales_Data[[#This Row],[Income]]&lt;=20000,"Low Income",IF(Sales_Data[[#This Row],[Income]]&lt;=40000,"Lower Middle",IF(Sales_Data[[#This Row],[Income]]&lt;=60000,"Middle Income",IF(Sales_Data[[#This Row],[Income]]&lt;=80000,"Upper Middle","High Income"))))</f>
        <v>Middle Income</v>
      </c>
      <c r="F351">
        <v>4</v>
      </c>
      <c r="G351" t="s">
        <v>19</v>
      </c>
      <c r="H351" t="s">
        <v>20</v>
      </c>
      <c r="I351" t="s">
        <v>21</v>
      </c>
      <c r="J351">
        <v>3</v>
      </c>
      <c r="K351" t="s">
        <v>36</v>
      </c>
      <c r="L351" t="s">
        <v>63</v>
      </c>
      <c r="M351">
        <v>42</v>
      </c>
      <c r="N351" t="s">
        <v>38</v>
      </c>
      <c r="O351" t="s">
        <v>39</v>
      </c>
      <c r="P351" s="2">
        <v>5074.3900000000003</v>
      </c>
      <c r="Q351" t="s">
        <v>59</v>
      </c>
      <c r="R351" s="1">
        <v>45022</v>
      </c>
      <c r="S351" s="1"/>
    </row>
    <row r="352" spans="1:19" x14ac:dyDescent="0.3">
      <c r="A352">
        <v>15468</v>
      </c>
      <c r="B352" t="s">
        <v>17</v>
      </c>
      <c r="C352" t="s">
        <v>18</v>
      </c>
      <c r="D352">
        <v>50000</v>
      </c>
      <c r="E352" t="str">
        <f>IF(Sales_Data[[#This Row],[Income]]&lt;=20000,"Low Income",IF(Sales_Data[[#This Row],[Income]]&lt;=40000,"Lower Middle",IF(Sales_Data[[#This Row],[Income]]&lt;=60000,"Middle Income",IF(Sales_Data[[#This Row],[Income]]&lt;=80000,"Upper Middle","High Income"))))</f>
        <v>Middle Income</v>
      </c>
      <c r="F352">
        <v>1</v>
      </c>
      <c r="G352" t="s">
        <v>19</v>
      </c>
      <c r="H352" t="s">
        <v>20</v>
      </c>
      <c r="I352" t="s">
        <v>21</v>
      </c>
      <c r="J352">
        <v>1</v>
      </c>
      <c r="K352" t="s">
        <v>22</v>
      </c>
      <c r="L352" t="s">
        <v>63</v>
      </c>
      <c r="M352">
        <v>35</v>
      </c>
      <c r="N352" t="s">
        <v>38</v>
      </c>
      <c r="O352" t="s">
        <v>41</v>
      </c>
      <c r="P352" s="2">
        <v>680.32</v>
      </c>
      <c r="Q352" t="s">
        <v>58</v>
      </c>
      <c r="R352" s="1">
        <v>45135</v>
      </c>
      <c r="S352" s="1"/>
    </row>
    <row r="353" spans="1:19" x14ac:dyDescent="0.3">
      <c r="A353">
        <v>22221</v>
      </c>
      <c r="B353" t="s">
        <v>17</v>
      </c>
      <c r="C353" t="s">
        <v>17</v>
      </c>
      <c r="D353">
        <v>60000</v>
      </c>
      <c r="E353" t="str">
        <f>IF(Sales_Data[[#This Row],[Income]]&lt;=20000,"Low Income",IF(Sales_Data[[#This Row],[Income]]&lt;=40000,"Lower Middle",IF(Sales_Data[[#This Row],[Income]]&lt;=60000,"Middle Income",IF(Sales_Data[[#This Row],[Income]]&lt;=80000,"Upper Middle","High Income"))))</f>
        <v>Middle Income</v>
      </c>
      <c r="F353">
        <v>2</v>
      </c>
      <c r="G353" t="s">
        <v>45</v>
      </c>
      <c r="H353" t="s">
        <v>31</v>
      </c>
      <c r="I353" t="s">
        <v>32</v>
      </c>
      <c r="J353">
        <v>2</v>
      </c>
      <c r="K353" t="s">
        <v>43</v>
      </c>
      <c r="L353" t="s">
        <v>63</v>
      </c>
      <c r="M353">
        <v>48</v>
      </c>
      <c r="N353" t="s">
        <v>38</v>
      </c>
      <c r="O353" t="s">
        <v>41</v>
      </c>
      <c r="P353" s="2">
        <v>2321.39</v>
      </c>
      <c r="Q353" t="s">
        <v>40</v>
      </c>
      <c r="R353" s="1">
        <v>45061</v>
      </c>
      <c r="S353" s="1"/>
    </row>
    <row r="354" spans="1:19" x14ac:dyDescent="0.3">
      <c r="A354">
        <v>20361</v>
      </c>
      <c r="B354" t="s">
        <v>17</v>
      </c>
      <c r="C354" t="s">
        <v>17</v>
      </c>
      <c r="D354">
        <v>50000</v>
      </c>
      <c r="E354" t="str">
        <f>IF(Sales_Data[[#This Row],[Income]]&lt;=20000,"Low Income",IF(Sales_Data[[#This Row],[Income]]&lt;=40000,"Lower Middle",IF(Sales_Data[[#This Row],[Income]]&lt;=60000,"Middle Income",IF(Sales_Data[[#This Row],[Income]]&lt;=80000,"Upper Middle","High Income"))))</f>
        <v>Middle Income</v>
      </c>
      <c r="F354">
        <v>2</v>
      </c>
      <c r="G354" t="s">
        <v>61</v>
      </c>
      <c r="H354" t="s">
        <v>46</v>
      </c>
      <c r="I354" t="s">
        <v>21</v>
      </c>
      <c r="J354">
        <v>2</v>
      </c>
      <c r="K354" t="s">
        <v>36</v>
      </c>
      <c r="L354" t="s">
        <v>63</v>
      </c>
      <c r="M354">
        <v>69</v>
      </c>
      <c r="N354" t="s">
        <v>24</v>
      </c>
      <c r="O354" t="s">
        <v>34</v>
      </c>
      <c r="P354" s="2">
        <v>2093.21</v>
      </c>
      <c r="Q354" t="s">
        <v>44</v>
      </c>
      <c r="R354" s="1">
        <v>44942</v>
      </c>
      <c r="S354" s="1"/>
    </row>
    <row r="355" spans="1:19" x14ac:dyDescent="0.3">
      <c r="A355">
        <v>21306</v>
      </c>
      <c r="B355" t="s">
        <v>35</v>
      </c>
      <c r="C355" t="s">
        <v>17</v>
      </c>
      <c r="D355">
        <v>60000</v>
      </c>
      <c r="E355" t="str">
        <f>IF(Sales_Data[[#This Row],[Income]]&lt;=20000,"Low Income",IF(Sales_Data[[#This Row],[Income]]&lt;=40000,"Lower Middle",IF(Sales_Data[[#This Row],[Income]]&lt;=60000,"Middle Income",IF(Sales_Data[[#This Row],[Income]]&lt;=80000,"Upper Middle","High Income"))))</f>
        <v>Middle Income</v>
      </c>
      <c r="F355">
        <v>2</v>
      </c>
      <c r="G355" t="s">
        <v>45</v>
      </c>
      <c r="H355" t="s">
        <v>31</v>
      </c>
      <c r="I355" t="s">
        <v>21</v>
      </c>
      <c r="J355">
        <v>2</v>
      </c>
      <c r="K355" t="s">
        <v>36</v>
      </c>
      <c r="L355" t="s">
        <v>63</v>
      </c>
      <c r="M355">
        <v>51</v>
      </c>
      <c r="N355" t="s">
        <v>24</v>
      </c>
      <c r="O355" t="s">
        <v>55</v>
      </c>
      <c r="P355" s="2">
        <v>3010.57</v>
      </c>
      <c r="Q355" t="s">
        <v>44</v>
      </c>
      <c r="R355" s="1">
        <v>44940</v>
      </c>
      <c r="S355" s="1"/>
    </row>
    <row r="356" spans="1:19" x14ac:dyDescent="0.3">
      <c r="A356">
        <v>20310</v>
      </c>
      <c r="B356" t="s">
        <v>35</v>
      </c>
      <c r="C356" t="s">
        <v>17</v>
      </c>
      <c r="D356">
        <v>60000</v>
      </c>
      <c r="E356" t="str">
        <f>IF(Sales_Data[[#This Row],[Income]]&lt;=20000,"Low Income",IF(Sales_Data[[#This Row],[Income]]&lt;=40000,"Lower Middle",IF(Sales_Data[[#This Row],[Income]]&lt;=60000,"Middle Income",IF(Sales_Data[[#This Row],[Income]]&lt;=80000,"Upper Middle","High Income"))))</f>
        <v>Middle Income</v>
      </c>
      <c r="F356">
        <v>0</v>
      </c>
      <c r="G356" t="s">
        <v>27</v>
      </c>
      <c r="H356" t="s">
        <v>20</v>
      </c>
      <c r="I356" t="s">
        <v>21</v>
      </c>
      <c r="J356">
        <v>1</v>
      </c>
      <c r="K356" t="s">
        <v>36</v>
      </c>
      <c r="L356" t="s">
        <v>63</v>
      </c>
      <c r="M356">
        <v>27</v>
      </c>
      <c r="N356" t="s">
        <v>38</v>
      </c>
      <c r="O356" t="s">
        <v>41</v>
      </c>
      <c r="P356" s="2">
        <v>3181.31</v>
      </c>
      <c r="Q356" t="s">
        <v>59</v>
      </c>
      <c r="R356" s="1">
        <v>45040</v>
      </c>
      <c r="S356" s="1"/>
    </row>
    <row r="357" spans="1:19" x14ac:dyDescent="0.3">
      <c r="A357">
        <v>15287</v>
      </c>
      <c r="B357" t="s">
        <v>35</v>
      </c>
      <c r="C357" t="s">
        <v>18</v>
      </c>
      <c r="D357">
        <v>50000</v>
      </c>
      <c r="E357" t="str">
        <f>IF(Sales_Data[[#This Row],[Income]]&lt;=20000,"Low Income",IF(Sales_Data[[#This Row],[Income]]&lt;=40000,"Lower Middle",IF(Sales_Data[[#This Row],[Income]]&lt;=60000,"Middle Income",IF(Sales_Data[[#This Row],[Income]]&lt;=80000,"Upper Middle","High Income"))))</f>
        <v>Middle Income</v>
      </c>
      <c r="F357">
        <v>1</v>
      </c>
      <c r="G357" t="s">
        <v>61</v>
      </c>
      <c r="H357" t="s">
        <v>20</v>
      </c>
      <c r="I357" t="s">
        <v>21</v>
      </c>
      <c r="J357">
        <v>0</v>
      </c>
      <c r="K357" t="s">
        <v>43</v>
      </c>
      <c r="L357" t="s">
        <v>63</v>
      </c>
      <c r="M357">
        <v>33</v>
      </c>
      <c r="N357" t="s">
        <v>24</v>
      </c>
      <c r="O357" t="s">
        <v>34</v>
      </c>
      <c r="P357" s="2">
        <v>1935.63</v>
      </c>
      <c r="Q357" t="s">
        <v>56</v>
      </c>
      <c r="R357" s="1">
        <v>45177</v>
      </c>
      <c r="S357" s="1"/>
    </row>
    <row r="358" spans="1:19" x14ac:dyDescent="0.3">
      <c r="A358">
        <v>15532</v>
      </c>
      <c r="B358" t="s">
        <v>35</v>
      </c>
      <c r="C358" t="s">
        <v>17</v>
      </c>
      <c r="D358">
        <v>60000</v>
      </c>
      <c r="E358" t="str">
        <f>IF(Sales_Data[[#This Row],[Income]]&lt;=20000,"Low Income",IF(Sales_Data[[#This Row],[Income]]&lt;=40000,"Lower Middle",IF(Sales_Data[[#This Row],[Income]]&lt;=60000,"Middle Income",IF(Sales_Data[[#This Row],[Income]]&lt;=80000,"Upper Middle","High Income"))))</f>
        <v>Middle Income</v>
      </c>
      <c r="F358">
        <v>4</v>
      </c>
      <c r="G358" t="s">
        <v>19</v>
      </c>
      <c r="H358" t="s">
        <v>31</v>
      </c>
      <c r="I358" t="s">
        <v>21</v>
      </c>
      <c r="J358">
        <v>2</v>
      </c>
      <c r="K358" t="s">
        <v>33</v>
      </c>
      <c r="L358" t="s">
        <v>63</v>
      </c>
      <c r="M358">
        <v>43</v>
      </c>
      <c r="N358" t="s">
        <v>24</v>
      </c>
      <c r="O358" t="s">
        <v>25</v>
      </c>
      <c r="P358" s="2">
        <v>7384.37</v>
      </c>
      <c r="Q358" t="s">
        <v>59</v>
      </c>
      <c r="R358" s="1">
        <v>45041</v>
      </c>
      <c r="S358" s="1"/>
    </row>
    <row r="359" spans="1:19" x14ac:dyDescent="0.3">
      <c r="A359">
        <v>21417</v>
      </c>
      <c r="B359" t="s">
        <v>35</v>
      </c>
      <c r="C359" t="s">
        <v>18</v>
      </c>
      <c r="D359">
        <v>60000</v>
      </c>
      <c r="E359" t="str">
        <f>IF(Sales_Data[[#This Row],[Income]]&lt;=20000,"Low Income",IF(Sales_Data[[#This Row],[Income]]&lt;=40000,"Lower Middle",IF(Sales_Data[[#This Row],[Income]]&lt;=60000,"Middle Income",IF(Sales_Data[[#This Row],[Income]]&lt;=80000,"Upper Middle","High Income"))))</f>
        <v>Middle Income</v>
      </c>
      <c r="F359">
        <v>0</v>
      </c>
      <c r="G359" t="s">
        <v>27</v>
      </c>
      <c r="H359" t="s">
        <v>31</v>
      </c>
      <c r="I359" t="s">
        <v>32</v>
      </c>
      <c r="J359">
        <v>2</v>
      </c>
      <c r="K359" t="s">
        <v>43</v>
      </c>
      <c r="L359" t="s">
        <v>63</v>
      </c>
      <c r="M359">
        <v>32</v>
      </c>
      <c r="N359" t="s">
        <v>38</v>
      </c>
      <c r="O359" t="s">
        <v>54</v>
      </c>
      <c r="P359" s="2">
        <v>8144.06</v>
      </c>
      <c r="Q359" t="s">
        <v>40</v>
      </c>
      <c r="R359" s="1">
        <v>45074</v>
      </c>
      <c r="S359" s="1"/>
    </row>
    <row r="360" spans="1:19" x14ac:dyDescent="0.3">
      <c r="A360">
        <v>25954</v>
      </c>
      <c r="B360" t="s">
        <v>17</v>
      </c>
      <c r="C360" t="s">
        <v>17</v>
      </c>
      <c r="D360">
        <v>60000</v>
      </c>
      <c r="E360" t="str">
        <f>IF(Sales_Data[[#This Row],[Income]]&lt;=20000,"Low Income",IF(Sales_Data[[#This Row],[Income]]&lt;=40000,"Lower Middle",IF(Sales_Data[[#This Row],[Income]]&lt;=60000,"Middle Income",IF(Sales_Data[[#This Row],[Income]]&lt;=80000,"Upper Middle","High Income"))))</f>
        <v>Middle Income</v>
      </c>
      <c r="F360">
        <v>0</v>
      </c>
      <c r="G360" t="s">
        <v>27</v>
      </c>
      <c r="H360" t="s">
        <v>20</v>
      </c>
      <c r="I360" t="s">
        <v>32</v>
      </c>
      <c r="J360">
        <v>2</v>
      </c>
      <c r="K360" t="s">
        <v>43</v>
      </c>
      <c r="L360" t="s">
        <v>63</v>
      </c>
      <c r="M360">
        <v>31</v>
      </c>
      <c r="N360" t="s">
        <v>38</v>
      </c>
      <c r="O360" t="s">
        <v>47</v>
      </c>
      <c r="P360" s="2">
        <v>8813.44</v>
      </c>
      <c r="Q360" t="s">
        <v>40</v>
      </c>
      <c r="R360" s="1">
        <v>45060</v>
      </c>
      <c r="S360" s="1"/>
    </row>
    <row r="361" spans="1:19" x14ac:dyDescent="0.3">
      <c r="A361">
        <v>21660</v>
      </c>
      <c r="B361" t="s">
        <v>17</v>
      </c>
      <c r="C361" t="s">
        <v>18</v>
      </c>
      <c r="D361">
        <v>60000</v>
      </c>
      <c r="E361" t="str">
        <f>IF(Sales_Data[[#This Row],[Income]]&lt;=20000,"Low Income",IF(Sales_Data[[#This Row],[Income]]&lt;=40000,"Lower Middle",IF(Sales_Data[[#This Row],[Income]]&lt;=60000,"Middle Income",IF(Sales_Data[[#This Row],[Income]]&lt;=80000,"Upper Middle","High Income"))))</f>
        <v>Middle Income</v>
      </c>
      <c r="F361">
        <v>3</v>
      </c>
      <c r="G361" t="s">
        <v>61</v>
      </c>
      <c r="H361" t="s">
        <v>31</v>
      </c>
      <c r="I361" t="s">
        <v>21</v>
      </c>
      <c r="J361">
        <v>0</v>
      </c>
      <c r="K361" t="s">
        <v>33</v>
      </c>
      <c r="L361" t="s">
        <v>63</v>
      </c>
      <c r="M361">
        <v>43</v>
      </c>
      <c r="N361" t="s">
        <v>24</v>
      </c>
      <c r="O361" t="s">
        <v>49</v>
      </c>
      <c r="P361" s="2">
        <v>7681.6</v>
      </c>
      <c r="Q361" t="s">
        <v>58</v>
      </c>
      <c r="R361" s="1">
        <v>45123</v>
      </c>
      <c r="S361" s="1"/>
    </row>
    <row r="362" spans="1:19" x14ac:dyDescent="0.3">
      <c r="A362">
        <v>17012</v>
      </c>
      <c r="B362" t="s">
        <v>17</v>
      </c>
      <c r="C362" t="s">
        <v>18</v>
      </c>
      <c r="D362">
        <v>60000</v>
      </c>
      <c r="E362" t="str">
        <f>IF(Sales_Data[[#This Row],[Income]]&lt;=20000,"Low Income",IF(Sales_Data[[#This Row],[Income]]&lt;=40000,"Lower Middle",IF(Sales_Data[[#This Row],[Income]]&lt;=60000,"Middle Income",IF(Sales_Data[[#This Row],[Income]]&lt;=80000,"Upper Middle","High Income"))))</f>
        <v>Middle Income</v>
      </c>
      <c r="F362">
        <v>3</v>
      </c>
      <c r="G362" t="s">
        <v>61</v>
      </c>
      <c r="H362" t="s">
        <v>31</v>
      </c>
      <c r="I362" t="s">
        <v>21</v>
      </c>
      <c r="J362">
        <v>0</v>
      </c>
      <c r="K362" t="s">
        <v>33</v>
      </c>
      <c r="L362" t="s">
        <v>63</v>
      </c>
      <c r="M362">
        <v>42</v>
      </c>
      <c r="N362" t="s">
        <v>38</v>
      </c>
      <c r="O362" t="s">
        <v>62</v>
      </c>
      <c r="P362" s="2">
        <v>6202.21</v>
      </c>
      <c r="Q362" t="s">
        <v>30</v>
      </c>
      <c r="R362" s="1">
        <v>45005</v>
      </c>
      <c r="S362" s="1"/>
    </row>
    <row r="363" spans="1:19" x14ac:dyDescent="0.3">
      <c r="A363">
        <v>26582</v>
      </c>
      <c r="B363" t="s">
        <v>17</v>
      </c>
      <c r="C363" t="s">
        <v>17</v>
      </c>
      <c r="D363">
        <v>60000</v>
      </c>
      <c r="E363" t="str">
        <f>IF(Sales_Data[[#This Row],[Income]]&lt;=20000,"Low Income",IF(Sales_Data[[#This Row],[Income]]&lt;=40000,"Lower Middle",IF(Sales_Data[[#This Row],[Income]]&lt;=60000,"Middle Income",IF(Sales_Data[[#This Row],[Income]]&lt;=80000,"Upper Middle","High Income"))))</f>
        <v>Middle Income</v>
      </c>
      <c r="F363">
        <v>0</v>
      </c>
      <c r="G363" t="s">
        <v>27</v>
      </c>
      <c r="H363" t="s">
        <v>20</v>
      </c>
      <c r="I363" t="s">
        <v>21</v>
      </c>
      <c r="J363">
        <v>2</v>
      </c>
      <c r="K363" t="s">
        <v>36</v>
      </c>
      <c r="L363" t="s">
        <v>63</v>
      </c>
      <c r="M363">
        <v>33</v>
      </c>
      <c r="N363" t="s">
        <v>38</v>
      </c>
      <c r="O363" t="s">
        <v>47</v>
      </c>
      <c r="P363" s="2">
        <v>1466.63</v>
      </c>
      <c r="Q363" t="s">
        <v>44</v>
      </c>
      <c r="R363" s="1">
        <v>44938</v>
      </c>
      <c r="S363" s="1"/>
    </row>
    <row r="364" spans="1:19" x14ac:dyDescent="0.3">
      <c r="A364">
        <v>18411</v>
      </c>
      <c r="B364" t="s">
        <v>17</v>
      </c>
      <c r="C364" t="s">
        <v>17</v>
      </c>
      <c r="D364">
        <v>60000</v>
      </c>
      <c r="E364" t="str">
        <f>IF(Sales_Data[[#This Row],[Income]]&lt;=20000,"Low Income",IF(Sales_Data[[#This Row],[Income]]&lt;=40000,"Lower Middle",IF(Sales_Data[[#This Row],[Income]]&lt;=60000,"Middle Income",IF(Sales_Data[[#This Row],[Income]]&lt;=80000,"Upper Middle","High Income"))))</f>
        <v>Middle Income</v>
      </c>
      <c r="F364">
        <v>2</v>
      </c>
      <c r="G364" t="s">
        <v>45</v>
      </c>
      <c r="H364" t="s">
        <v>31</v>
      </c>
      <c r="I364" t="s">
        <v>32</v>
      </c>
      <c r="J364">
        <v>2</v>
      </c>
      <c r="K364" t="s">
        <v>36</v>
      </c>
      <c r="L364" t="s">
        <v>63</v>
      </c>
      <c r="M364">
        <v>51</v>
      </c>
      <c r="N364" t="s">
        <v>24</v>
      </c>
      <c r="O364" t="s">
        <v>49</v>
      </c>
      <c r="P364" s="2">
        <v>2538.2800000000002</v>
      </c>
      <c r="Q364" t="s">
        <v>57</v>
      </c>
      <c r="R364" s="1">
        <v>45216</v>
      </c>
      <c r="S364" s="1"/>
    </row>
    <row r="365" spans="1:19" x14ac:dyDescent="0.3">
      <c r="A365">
        <v>18572</v>
      </c>
      <c r="B365" t="s">
        <v>17</v>
      </c>
      <c r="C365" t="s">
        <v>18</v>
      </c>
      <c r="D365">
        <v>60000</v>
      </c>
      <c r="E365" t="str">
        <f>IF(Sales_Data[[#This Row],[Income]]&lt;=20000,"Low Income",IF(Sales_Data[[#This Row],[Income]]&lt;=40000,"Lower Middle",IF(Sales_Data[[#This Row],[Income]]&lt;=60000,"Middle Income",IF(Sales_Data[[#This Row],[Income]]&lt;=80000,"Upper Middle","High Income"))))</f>
        <v>Middle Income</v>
      </c>
      <c r="F365">
        <v>0</v>
      </c>
      <c r="G365" t="s">
        <v>61</v>
      </c>
      <c r="H365" t="s">
        <v>31</v>
      </c>
      <c r="I365" t="s">
        <v>21</v>
      </c>
      <c r="J365">
        <v>0</v>
      </c>
      <c r="K365" t="s">
        <v>22</v>
      </c>
      <c r="L365" t="s">
        <v>63</v>
      </c>
      <c r="M365">
        <v>39</v>
      </c>
      <c r="N365" t="s">
        <v>38</v>
      </c>
      <c r="O365" t="s">
        <v>47</v>
      </c>
      <c r="P365" s="2">
        <v>6312.24</v>
      </c>
      <c r="Q365" t="s">
        <v>51</v>
      </c>
      <c r="R365" s="1">
        <v>45097</v>
      </c>
      <c r="S365" s="1"/>
    </row>
    <row r="366" spans="1:19" x14ac:dyDescent="0.3">
      <c r="A366">
        <v>12922</v>
      </c>
      <c r="B366" t="s">
        <v>35</v>
      </c>
      <c r="C366" t="s">
        <v>18</v>
      </c>
      <c r="D366">
        <v>60000</v>
      </c>
      <c r="E366" t="str">
        <f>IF(Sales_Data[[#This Row],[Income]]&lt;=20000,"Low Income",IF(Sales_Data[[#This Row],[Income]]&lt;=40000,"Lower Middle",IF(Sales_Data[[#This Row],[Income]]&lt;=60000,"Middle Income",IF(Sales_Data[[#This Row],[Income]]&lt;=80000,"Upper Middle","High Income"))))</f>
        <v>Middle Income</v>
      </c>
      <c r="F366">
        <v>3</v>
      </c>
      <c r="G366" t="s">
        <v>19</v>
      </c>
      <c r="H366" t="s">
        <v>20</v>
      </c>
      <c r="I366" t="s">
        <v>21</v>
      </c>
      <c r="J366">
        <v>0</v>
      </c>
      <c r="K366" t="s">
        <v>33</v>
      </c>
      <c r="L366" t="s">
        <v>63</v>
      </c>
      <c r="M366">
        <v>40</v>
      </c>
      <c r="N366" t="s">
        <v>24</v>
      </c>
      <c r="O366" t="s">
        <v>29</v>
      </c>
      <c r="P366" s="2">
        <v>3581.07</v>
      </c>
      <c r="Q366" t="s">
        <v>48</v>
      </c>
      <c r="R366" s="1">
        <v>45157</v>
      </c>
      <c r="S366" s="1"/>
    </row>
    <row r="367" spans="1:19" x14ac:dyDescent="0.3">
      <c r="A367">
        <v>16773</v>
      </c>
      <c r="B367" t="s">
        <v>17</v>
      </c>
      <c r="C367" t="s">
        <v>17</v>
      </c>
      <c r="D367">
        <v>60000</v>
      </c>
      <c r="E367" t="str">
        <f>IF(Sales_Data[[#This Row],[Income]]&lt;=20000,"Low Income",IF(Sales_Data[[#This Row],[Income]]&lt;=40000,"Lower Middle",IF(Sales_Data[[#This Row],[Income]]&lt;=60000,"Middle Income",IF(Sales_Data[[#This Row],[Income]]&lt;=80000,"Upper Middle","High Income"))))</f>
        <v>Middle Income</v>
      </c>
      <c r="F367">
        <v>1</v>
      </c>
      <c r="G367" t="s">
        <v>61</v>
      </c>
      <c r="H367" t="s">
        <v>20</v>
      </c>
      <c r="I367" t="s">
        <v>21</v>
      </c>
      <c r="J367">
        <v>0</v>
      </c>
      <c r="K367" t="s">
        <v>22</v>
      </c>
      <c r="L367" t="s">
        <v>63</v>
      </c>
      <c r="M367">
        <v>33</v>
      </c>
      <c r="N367" t="s">
        <v>38</v>
      </c>
      <c r="O367" t="s">
        <v>62</v>
      </c>
      <c r="P367" s="2">
        <v>5306.57</v>
      </c>
      <c r="Q367" t="s">
        <v>44</v>
      </c>
      <c r="R367" s="1">
        <v>44940</v>
      </c>
      <c r="S367" s="1"/>
    </row>
    <row r="368" spans="1:19" x14ac:dyDescent="0.3">
      <c r="A368">
        <v>15555</v>
      </c>
      <c r="B368" t="s">
        <v>17</v>
      </c>
      <c r="C368" t="s">
        <v>18</v>
      </c>
      <c r="D368">
        <v>60000</v>
      </c>
      <c r="E368" t="str">
        <f>IF(Sales_Data[[#This Row],[Income]]&lt;=20000,"Low Income",IF(Sales_Data[[#This Row],[Income]]&lt;=40000,"Lower Middle",IF(Sales_Data[[#This Row],[Income]]&lt;=60000,"Middle Income",IF(Sales_Data[[#This Row],[Income]]&lt;=80000,"Upper Middle","High Income"))))</f>
        <v>Middle Income</v>
      </c>
      <c r="F368">
        <v>1</v>
      </c>
      <c r="G368" t="s">
        <v>27</v>
      </c>
      <c r="H368" t="s">
        <v>20</v>
      </c>
      <c r="I368" t="s">
        <v>21</v>
      </c>
      <c r="J368">
        <v>1</v>
      </c>
      <c r="K368" t="s">
        <v>33</v>
      </c>
      <c r="L368" t="s">
        <v>63</v>
      </c>
      <c r="M368">
        <v>45</v>
      </c>
      <c r="N368" t="s">
        <v>38</v>
      </c>
      <c r="O368" t="s">
        <v>62</v>
      </c>
      <c r="P368" s="2">
        <v>8915.9</v>
      </c>
      <c r="Q368" t="s">
        <v>26</v>
      </c>
      <c r="R368" s="1">
        <v>45266</v>
      </c>
      <c r="S368" s="1"/>
    </row>
    <row r="369" spans="1:19" x14ac:dyDescent="0.3">
      <c r="A369">
        <v>16751</v>
      </c>
      <c r="B369" t="s">
        <v>17</v>
      </c>
      <c r="C369" t="s">
        <v>17</v>
      </c>
      <c r="D369">
        <v>60000</v>
      </c>
      <c r="E369" t="str">
        <f>IF(Sales_Data[[#This Row],[Income]]&lt;=20000,"Low Income",IF(Sales_Data[[#This Row],[Income]]&lt;=40000,"Lower Middle",IF(Sales_Data[[#This Row],[Income]]&lt;=60000,"Middle Income",IF(Sales_Data[[#This Row],[Income]]&lt;=80000,"Upper Middle","High Income"))))</f>
        <v>Middle Income</v>
      </c>
      <c r="F369">
        <v>0</v>
      </c>
      <c r="G369" t="s">
        <v>27</v>
      </c>
      <c r="H369" t="s">
        <v>20</v>
      </c>
      <c r="I369" t="s">
        <v>21</v>
      </c>
      <c r="J369">
        <v>1</v>
      </c>
      <c r="K369" t="s">
        <v>36</v>
      </c>
      <c r="L369" t="s">
        <v>63</v>
      </c>
      <c r="M369">
        <v>32</v>
      </c>
      <c r="N369" t="s">
        <v>24</v>
      </c>
      <c r="O369" t="s">
        <v>49</v>
      </c>
      <c r="P369" s="2">
        <v>4151.5200000000004</v>
      </c>
      <c r="Q369" t="s">
        <v>26</v>
      </c>
      <c r="R369" s="1">
        <v>45286</v>
      </c>
      <c r="S369" s="1"/>
    </row>
    <row r="370" spans="1:19" x14ac:dyDescent="0.3">
      <c r="A370">
        <v>21613</v>
      </c>
      <c r="B370" t="s">
        <v>35</v>
      </c>
      <c r="C370" t="s">
        <v>17</v>
      </c>
      <c r="D370">
        <v>50000</v>
      </c>
      <c r="E370" t="str">
        <f>IF(Sales_Data[[#This Row],[Income]]&lt;=20000,"Low Income",IF(Sales_Data[[#This Row],[Income]]&lt;=40000,"Lower Middle",IF(Sales_Data[[#This Row],[Income]]&lt;=60000,"Middle Income",IF(Sales_Data[[#This Row],[Income]]&lt;=80000,"Upper Middle","High Income"))))</f>
        <v>Middle Income</v>
      </c>
      <c r="F370">
        <v>2</v>
      </c>
      <c r="G370" t="s">
        <v>19</v>
      </c>
      <c r="H370" t="s">
        <v>20</v>
      </c>
      <c r="I370" t="s">
        <v>32</v>
      </c>
      <c r="J370">
        <v>1</v>
      </c>
      <c r="K370" t="s">
        <v>22</v>
      </c>
      <c r="L370" t="s">
        <v>63</v>
      </c>
      <c r="M370">
        <v>39</v>
      </c>
      <c r="N370" t="s">
        <v>38</v>
      </c>
      <c r="O370" t="s">
        <v>47</v>
      </c>
      <c r="P370" s="2">
        <v>6151.53</v>
      </c>
      <c r="Q370" t="s">
        <v>51</v>
      </c>
      <c r="R370" s="1">
        <v>45082</v>
      </c>
      <c r="S370" s="1"/>
    </row>
    <row r="371" spans="1:19" x14ac:dyDescent="0.3">
      <c r="A371">
        <v>24801</v>
      </c>
      <c r="B371" t="s">
        <v>35</v>
      </c>
      <c r="C371" t="s">
        <v>17</v>
      </c>
      <c r="D371">
        <v>60000</v>
      </c>
      <c r="E371" t="str">
        <f>IF(Sales_Data[[#This Row],[Income]]&lt;=20000,"Low Income",IF(Sales_Data[[#This Row],[Income]]&lt;=40000,"Lower Middle",IF(Sales_Data[[#This Row],[Income]]&lt;=60000,"Middle Income",IF(Sales_Data[[#This Row],[Income]]&lt;=80000,"Upper Middle","High Income"))))</f>
        <v>Middle Income</v>
      </c>
      <c r="F371">
        <v>1</v>
      </c>
      <c r="G371" t="s">
        <v>61</v>
      </c>
      <c r="H371" t="s">
        <v>31</v>
      </c>
      <c r="I371" t="s">
        <v>21</v>
      </c>
      <c r="J371">
        <v>0</v>
      </c>
      <c r="K371" t="s">
        <v>33</v>
      </c>
      <c r="L371" t="s">
        <v>63</v>
      </c>
      <c r="M371">
        <v>35</v>
      </c>
      <c r="N371" t="s">
        <v>24</v>
      </c>
      <c r="O371" t="s">
        <v>49</v>
      </c>
      <c r="P371" s="2">
        <v>1668.75</v>
      </c>
      <c r="Q371" t="s">
        <v>57</v>
      </c>
      <c r="R371" s="1">
        <v>45201</v>
      </c>
      <c r="S371" s="1"/>
    </row>
    <row r="372" spans="1:19" x14ac:dyDescent="0.3">
      <c r="A372">
        <v>17519</v>
      </c>
      <c r="B372" t="s">
        <v>17</v>
      </c>
      <c r="C372" t="s">
        <v>18</v>
      </c>
      <c r="D372">
        <v>60000</v>
      </c>
      <c r="E372" t="str">
        <f>IF(Sales_Data[[#This Row],[Income]]&lt;=20000,"Low Income",IF(Sales_Data[[#This Row],[Income]]&lt;=40000,"Lower Middle",IF(Sales_Data[[#This Row],[Income]]&lt;=60000,"Middle Income",IF(Sales_Data[[#This Row],[Income]]&lt;=80000,"Upper Middle","High Income"))))</f>
        <v>Middle Income</v>
      </c>
      <c r="F372">
        <v>0</v>
      </c>
      <c r="G372" t="s">
        <v>27</v>
      </c>
      <c r="H372" t="s">
        <v>31</v>
      </c>
      <c r="I372" t="s">
        <v>21</v>
      </c>
      <c r="J372">
        <v>2</v>
      </c>
      <c r="K372" t="s">
        <v>36</v>
      </c>
      <c r="L372" t="s">
        <v>63</v>
      </c>
      <c r="M372">
        <v>32</v>
      </c>
      <c r="N372" t="s">
        <v>24</v>
      </c>
      <c r="O372" t="s">
        <v>49</v>
      </c>
      <c r="P372" s="2">
        <v>6192.78</v>
      </c>
      <c r="Q372" t="s">
        <v>30</v>
      </c>
      <c r="R372" s="1">
        <v>44988</v>
      </c>
      <c r="S372" s="1"/>
    </row>
    <row r="373" spans="1:19" x14ac:dyDescent="0.3">
      <c r="A373">
        <v>11745</v>
      </c>
      <c r="B373" t="s">
        <v>17</v>
      </c>
      <c r="C373" t="s">
        <v>18</v>
      </c>
      <c r="D373">
        <v>60000</v>
      </c>
      <c r="E373" t="str">
        <f>IF(Sales_Data[[#This Row],[Income]]&lt;=20000,"Low Income",IF(Sales_Data[[#This Row],[Income]]&lt;=40000,"Lower Middle",IF(Sales_Data[[#This Row],[Income]]&lt;=60000,"Middle Income",IF(Sales_Data[[#This Row],[Income]]&lt;=80000,"Upper Middle","High Income"))))</f>
        <v>Middle Income</v>
      </c>
      <c r="F373">
        <v>1</v>
      </c>
      <c r="G373" t="s">
        <v>19</v>
      </c>
      <c r="H373" t="s">
        <v>31</v>
      </c>
      <c r="I373" t="s">
        <v>21</v>
      </c>
      <c r="J373">
        <v>1</v>
      </c>
      <c r="K373" t="s">
        <v>22</v>
      </c>
      <c r="L373" t="s">
        <v>63</v>
      </c>
      <c r="M373">
        <v>47</v>
      </c>
      <c r="N373" t="s">
        <v>38</v>
      </c>
      <c r="O373" t="s">
        <v>54</v>
      </c>
      <c r="P373" s="2">
        <v>5218.28</v>
      </c>
      <c r="Q373" t="s">
        <v>56</v>
      </c>
      <c r="R373" s="1">
        <v>45173</v>
      </c>
      <c r="S373" s="1"/>
    </row>
    <row r="374" spans="1:19" x14ac:dyDescent="0.3">
      <c r="A374">
        <v>22330</v>
      </c>
      <c r="B374" t="s">
        <v>17</v>
      </c>
      <c r="C374" t="s">
        <v>17</v>
      </c>
      <c r="D374">
        <v>50000</v>
      </c>
      <c r="E374" t="str">
        <f>IF(Sales_Data[[#This Row],[Income]]&lt;=20000,"Low Income",IF(Sales_Data[[#This Row],[Income]]&lt;=40000,"Lower Middle",IF(Sales_Data[[#This Row],[Income]]&lt;=60000,"Middle Income",IF(Sales_Data[[#This Row],[Income]]&lt;=80000,"Upper Middle","High Income"))))</f>
        <v>Middle Income</v>
      </c>
      <c r="F374">
        <v>0</v>
      </c>
      <c r="G374" t="s">
        <v>61</v>
      </c>
      <c r="H374" t="s">
        <v>20</v>
      </c>
      <c r="I374" t="s">
        <v>21</v>
      </c>
      <c r="J374">
        <v>0</v>
      </c>
      <c r="K374" t="s">
        <v>43</v>
      </c>
      <c r="L374" t="s">
        <v>63</v>
      </c>
      <c r="M374">
        <v>32</v>
      </c>
      <c r="N374" t="s">
        <v>24</v>
      </c>
      <c r="O374" t="s">
        <v>49</v>
      </c>
      <c r="P374" s="2">
        <v>7577.33</v>
      </c>
      <c r="Q374" t="s">
        <v>44</v>
      </c>
      <c r="R374" s="1">
        <v>44927</v>
      </c>
      <c r="S374" s="1"/>
    </row>
    <row r="375" spans="1:19" x14ac:dyDescent="0.3">
      <c r="A375">
        <v>28052</v>
      </c>
      <c r="B375" t="s">
        <v>17</v>
      </c>
      <c r="C375" t="s">
        <v>17</v>
      </c>
      <c r="D375">
        <v>60000</v>
      </c>
      <c r="E375" t="str">
        <f>IF(Sales_Data[[#This Row],[Income]]&lt;=20000,"Low Income",IF(Sales_Data[[#This Row],[Income]]&lt;=40000,"Lower Middle",IF(Sales_Data[[#This Row],[Income]]&lt;=60000,"Middle Income",IF(Sales_Data[[#This Row],[Income]]&lt;=80000,"Upper Middle","High Income"))))</f>
        <v>Middle Income</v>
      </c>
      <c r="F375">
        <v>2</v>
      </c>
      <c r="G375" t="s">
        <v>45</v>
      </c>
      <c r="H375" t="s">
        <v>31</v>
      </c>
      <c r="I375" t="s">
        <v>21</v>
      </c>
      <c r="J375">
        <v>2</v>
      </c>
      <c r="K375" t="s">
        <v>53</v>
      </c>
      <c r="L375" t="s">
        <v>63</v>
      </c>
      <c r="M375">
        <v>55</v>
      </c>
      <c r="N375" t="s">
        <v>24</v>
      </c>
      <c r="O375" t="s">
        <v>34</v>
      </c>
      <c r="P375" s="2">
        <v>5496.65</v>
      </c>
      <c r="Q375" t="s">
        <v>58</v>
      </c>
      <c r="R375" s="1">
        <v>45118</v>
      </c>
      <c r="S375" s="1"/>
    </row>
    <row r="376" spans="1:19" x14ac:dyDescent="0.3">
      <c r="A376">
        <v>13942</v>
      </c>
      <c r="B376" t="s">
        <v>17</v>
      </c>
      <c r="C376" t="s">
        <v>17</v>
      </c>
      <c r="D376">
        <v>60000</v>
      </c>
      <c r="E376" t="str">
        <f>IF(Sales_Data[[#This Row],[Income]]&lt;=20000,"Low Income",IF(Sales_Data[[#This Row],[Income]]&lt;=40000,"Lower Middle",IF(Sales_Data[[#This Row],[Income]]&lt;=60000,"Middle Income",IF(Sales_Data[[#This Row],[Income]]&lt;=80000,"Upper Middle","High Income"))))</f>
        <v>Middle Income</v>
      </c>
      <c r="F376">
        <v>1</v>
      </c>
      <c r="G376" t="s">
        <v>27</v>
      </c>
      <c r="H376" t="s">
        <v>20</v>
      </c>
      <c r="I376" t="s">
        <v>21</v>
      </c>
      <c r="J376">
        <v>1</v>
      </c>
      <c r="K376" t="s">
        <v>22</v>
      </c>
      <c r="L376" t="s">
        <v>63</v>
      </c>
      <c r="M376">
        <v>46</v>
      </c>
      <c r="N376" t="s">
        <v>24</v>
      </c>
      <c r="O376" t="s">
        <v>49</v>
      </c>
      <c r="P376" s="2">
        <v>8937.58</v>
      </c>
      <c r="Q376" t="s">
        <v>60</v>
      </c>
      <c r="R376" s="1">
        <v>45251</v>
      </c>
      <c r="S376" s="1"/>
    </row>
    <row r="377" spans="1:19" x14ac:dyDescent="0.3">
      <c r="A377">
        <v>11219</v>
      </c>
      <c r="B377" t="s">
        <v>17</v>
      </c>
      <c r="C377" t="s">
        <v>17</v>
      </c>
      <c r="D377">
        <v>60000</v>
      </c>
      <c r="E377" t="str">
        <f>IF(Sales_Data[[#This Row],[Income]]&lt;=20000,"Low Income",IF(Sales_Data[[#This Row],[Income]]&lt;=40000,"Lower Middle",IF(Sales_Data[[#This Row],[Income]]&lt;=60000,"Middle Income",IF(Sales_Data[[#This Row],[Income]]&lt;=80000,"Upper Middle","High Income"))))</f>
        <v>Middle Income</v>
      </c>
      <c r="F377">
        <v>2</v>
      </c>
      <c r="G377" t="s">
        <v>45</v>
      </c>
      <c r="H377" t="s">
        <v>31</v>
      </c>
      <c r="I377" t="s">
        <v>21</v>
      </c>
      <c r="J377">
        <v>2</v>
      </c>
      <c r="K377" t="s">
        <v>53</v>
      </c>
      <c r="L377" t="s">
        <v>63</v>
      </c>
      <c r="M377">
        <v>55</v>
      </c>
      <c r="N377" t="s">
        <v>38</v>
      </c>
      <c r="O377" t="s">
        <v>41</v>
      </c>
      <c r="P377" s="2">
        <v>5894.96</v>
      </c>
      <c r="Q377" t="s">
        <v>60</v>
      </c>
      <c r="R377" s="1">
        <v>45247</v>
      </c>
      <c r="S377" s="1"/>
    </row>
    <row r="378" spans="1:19" x14ac:dyDescent="0.3">
      <c r="A378">
        <v>23197</v>
      </c>
      <c r="B378" t="s">
        <v>17</v>
      </c>
      <c r="C378" t="s">
        <v>17</v>
      </c>
      <c r="D378">
        <v>50000</v>
      </c>
      <c r="E378" t="str">
        <f>IF(Sales_Data[[#This Row],[Income]]&lt;=20000,"Low Income",IF(Sales_Data[[#This Row],[Income]]&lt;=40000,"Lower Middle",IF(Sales_Data[[#This Row],[Income]]&lt;=60000,"Middle Income",IF(Sales_Data[[#This Row],[Income]]&lt;=80000,"Upper Middle","High Income"))))</f>
        <v>Middle Income</v>
      </c>
      <c r="F378">
        <v>3</v>
      </c>
      <c r="G378" t="s">
        <v>19</v>
      </c>
      <c r="H378" t="s">
        <v>20</v>
      </c>
      <c r="I378" t="s">
        <v>21</v>
      </c>
      <c r="J378">
        <v>2</v>
      </c>
      <c r="K378" t="s">
        <v>33</v>
      </c>
      <c r="L378" t="s">
        <v>63</v>
      </c>
      <c r="M378">
        <v>40</v>
      </c>
      <c r="N378" t="s">
        <v>24</v>
      </c>
      <c r="O378" t="s">
        <v>29</v>
      </c>
      <c r="P378" s="2">
        <v>2366.06</v>
      </c>
      <c r="Q378" t="s">
        <v>30</v>
      </c>
      <c r="R378" s="1">
        <v>45004</v>
      </c>
      <c r="S378" s="1"/>
    </row>
    <row r="379" spans="1:19" x14ac:dyDescent="0.3">
      <c r="A379">
        <v>28278</v>
      </c>
      <c r="B379" t="s">
        <v>17</v>
      </c>
      <c r="C379" t="s">
        <v>17</v>
      </c>
      <c r="D379">
        <v>50000</v>
      </c>
      <c r="E379" t="str">
        <f>IF(Sales_Data[[#This Row],[Income]]&lt;=20000,"Low Income",IF(Sales_Data[[#This Row],[Income]]&lt;=40000,"Lower Middle",IF(Sales_Data[[#This Row],[Income]]&lt;=60000,"Middle Income",IF(Sales_Data[[#This Row],[Income]]&lt;=80000,"Upper Middle","High Income"))))</f>
        <v>Middle Income</v>
      </c>
      <c r="F379">
        <v>2</v>
      </c>
      <c r="G379" t="s">
        <v>61</v>
      </c>
      <c r="H379" t="s">
        <v>46</v>
      </c>
      <c r="I379" t="s">
        <v>21</v>
      </c>
      <c r="J379">
        <v>2</v>
      </c>
      <c r="K379" t="s">
        <v>36</v>
      </c>
      <c r="L379" t="s">
        <v>63</v>
      </c>
      <c r="M379">
        <v>71</v>
      </c>
      <c r="N379" t="s">
        <v>24</v>
      </c>
      <c r="O379" t="s">
        <v>55</v>
      </c>
      <c r="P379" s="2">
        <v>8797.59</v>
      </c>
      <c r="Q379" t="s">
        <v>51</v>
      </c>
      <c r="R379" s="1">
        <v>45087</v>
      </c>
      <c r="S379" s="1"/>
    </row>
    <row r="380" spans="1:19" x14ac:dyDescent="0.3">
      <c r="A380">
        <v>16151</v>
      </c>
      <c r="B380" t="s">
        <v>17</v>
      </c>
      <c r="C380" t="s">
        <v>18</v>
      </c>
      <c r="D380">
        <v>60000</v>
      </c>
      <c r="E380" t="str">
        <f>IF(Sales_Data[[#This Row],[Income]]&lt;=20000,"Low Income",IF(Sales_Data[[#This Row],[Income]]&lt;=40000,"Lower Middle",IF(Sales_Data[[#This Row],[Income]]&lt;=60000,"Middle Income",IF(Sales_Data[[#This Row],[Income]]&lt;=80000,"Upper Middle","High Income"))))</f>
        <v>Middle Income</v>
      </c>
      <c r="F380">
        <v>1</v>
      </c>
      <c r="G380" t="s">
        <v>19</v>
      </c>
      <c r="H380" t="s">
        <v>31</v>
      </c>
      <c r="I380" t="s">
        <v>21</v>
      </c>
      <c r="J380">
        <v>1</v>
      </c>
      <c r="K380" t="s">
        <v>33</v>
      </c>
      <c r="L380" t="s">
        <v>63</v>
      </c>
      <c r="M380">
        <v>48</v>
      </c>
      <c r="N380" t="s">
        <v>24</v>
      </c>
      <c r="O380" t="s">
        <v>55</v>
      </c>
      <c r="P380" s="2">
        <v>9332.4500000000007</v>
      </c>
      <c r="Q380" t="s">
        <v>51</v>
      </c>
      <c r="R380" s="1">
        <v>45081</v>
      </c>
      <c r="S380" s="1"/>
    </row>
    <row r="381" spans="1:19" x14ac:dyDescent="0.3">
      <c r="A381">
        <v>11622</v>
      </c>
      <c r="B381" t="s">
        <v>17</v>
      </c>
      <c r="C381" t="s">
        <v>17</v>
      </c>
      <c r="D381">
        <v>50000</v>
      </c>
      <c r="E381" t="str">
        <f>IF(Sales_Data[[#This Row],[Income]]&lt;=20000,"Low Income",IF(Sales_Data[[#This Row],[Income]]&lt;=40000,"Lower Middle",IF(Sales_Data[[#This Row],[Income]]&lt;=60000,"Middle Income",IF(Sales_Data[[#This Row],[Income]]&lt;=80000,"Upper Middle","High Income"))))</f>
        <v>Middle Income</v>
      </c>
      <c r="F381">
        <v>0</v>
      </c>
      <c r="G381" t="s">
        <v>61</v>
      </c>
      <c r="H381" t="s">
        <v>20</v>
      </c>
      <c r="I381" t="s">
        <v>21</v>
      </c>
      <c r="J381">
        <v>0</v>
      </c>
      <c r="K381" t="s">
        <v>22</v>
      </c>
      <c r="L381" t="s">
        <v>63</v>
      </c>
      <c r="M381">
        <v>32</v>
      </c>
      <c r="N381" t="s">
        <v>24</v>
      </c>
      <c r="O381" t="s">
        <v>29</v>
      </c>
      <c r="P381" s="2">
        <v>3672.68</v>
      </c>
      <c r="Q381" t="s">
        <v>60</v>
      </c>
      <c r="R381" s="1">
        <v>45231</v>
      </c>
      <c r="S381" s="1"/>
    </row>
    <row r="382" spans="1:19" x14ac:dyDescent="0.3">
      <c r="A382">
        <v>26597</v>
      </c>
      <c r="B382" t="s">
        <v>35</v>
      </c>
      <c r="C382" t="s">
        <v>18</v>
      </c>
      <c r="D382">
        <v>60000</v>
      </c>
      <c r="E382" t="str">
        <f>IF(Sales_Data[[#This Row],[Income]]&lt;=20000,"Low Income",IF(Sales_Data[[#This Row],[Income]]&lt;=40000,"Lower Middle",IF(Sales_Data[[#This Row],[Income]]&lt;=60000,"Middle Income",IF(Sales_Data[[#This Row],[Income]]&lt;=80000,"Upper Middle","High Income"))))</f>
        <v>Middle Income</v>
      </c>
      <c r="F382">
        <v>4</v>
      </c>
      <c r="G382" t="s">
        <v>19</v>
      </c>
      <c r="H382" t="s">
        <v>20</v>
      </c>
      <c r="I382" t="s">
        <v>32</v>
      </c>
      <c r="J382">
        <v>2</v>
      </c>
      <c r="K382" t="s">
        <v>22</v>
      </c>
      <c r="L382" t="s">
        <v>63</v>
      </c>
      <c r="M382">
        <v>42</v>
      </c>
      <c r="N382" t="s">
        <v>38</v>
      </c>
      <c r="O382" t="s">
        <v>54</v>
      </c>
      <c r="P382" s="2">
        <v>3183.62</v>
      </c>
      <c r="Q382" t="s">
        <v>44</v>
      </c>
      <c r="R382" s="1">
        <v>44947</v>
      </c>
      <c r="S382" s="1"/>
    </row>
    <row r="383" spans="1:19" x14ac:dyDescent="0.3">
      <c r="A383">
        <v>14569</v>
      </c>
      <c r="B383" t="s">
        <v>17</v>
      </c>
      <c r="C383" t="s">
        <v>17</v>
      </c>
      <c r="D383">
        <v>60000</v>
      </c>
      <c r="E383" t="str">
        <f>IF(Sales_Data[[#This Row],[Income]]&lt;=20000,"Low Income",IF(Sales_Data[[#This Row],[Income]]&lt;=40000,"Lower Middle",IF(Sales_Data[[#This Row],[Income]]&lt;=60000,"Middle Income",IF(Sales_Data[[#This Row],[Income]]&lt;=80000,"Upper Middle","High Income"))))</f>
        <v>Middle Income</v>
      </c>
      <c r="F383">
        <v>1</v>
      </c>
      <c r="G383" t="s">
        <v>61</v>
      </c>
      <c r="H383" t="s">
        <v>31</v>
      </c>
      <c r="I383" t="s">
        <v>21</v>
      </c>
      <c r="J383">
        <v>0</v>
      </c>
      <c r="K383" t="s">
        <v>22</v>
      </c>
      <c r="L383" t="s">
        <v>63</v>
      </c>
      <c r="M383">
        <v>35</v>
      </c>
      <c r="N383" t="s">
        <v>38</v>
      </c>
      <c r="O383" t="s">
        <v>54</v>
      </c>
      <c r="P383" s="2">
        <v>8430.18</v>
      </c>
      <c r="Q383" t="s">
        <v>59</v>
      </c>
      <c r="R383" s="1">
        <v>45023</v>
      </c>
      <c r="S383" s="1"/>
    </row>
    <row r="384" spans="1:19" x14ac:dyDescent="0.3">
      <c r="A384">
        <v>20401</v>
      </c>
      <c r="B384" t="s">
        <v>17</v>
      </c>
      <c r="C384" t="s">
        <v>18</v>
      </c>
      <c r="D384">
        <v>50000</v>
      </c>
      <c r="E384" t="str">
        <f>IF(Sales_Data[[#This Row],[Income]]&lt;=20000,"Low Income",IF(Sales_Data[[#This Row],[Income]]&lt;=40000,"Lower Middle",IF(Sales_Data[[#This Row],[Income]]&lt;=60000,"Middle Income",IF(Sales_Data[[#This Row],[Income]]&lt;=80000,"Upper Middle","High Income"))))</f>
        <v>Middle Income</v>
      </c>
      <c r="F384">
        <v>4</v>
      </c>
      <c r="G384" t="s">
        <v>19</v>
      </c>
      <c r="H384" t="s">
        <v>46</v>
      </c>
      <c r="I384" t="s">
        <v>21</v>
      </c>
      <c r="J384">
        <v>2</v>
      </c>
      <c r="K384" t="s">
        <v>43</v>
      </c>
      <c r="L384" t="s">
        <v>63</v>
      </c>
      <c r="M384">
        <v>64</v>
      </c>
      <c r="N384" t="s">
        <v>38</v>
      </c>
      <c r="O384" t="s">
        <v>54</v>
      </c>
      <c r="P384" s="2">
        <v>7075.42</v>
      </c>
      <c r="Q384" t="s">
        <v>60</v>
      </c>
      <c r="R384" s="1">
        <v>45253</v>
      </c>
      <c r="S384" s="1"/>
    </row>
    <row r="385" spans="1:19" x14ac:dyDescent="0.3">
      <c r="A385">
        <v>21583</v>
      </c>
      <c r="B385" t="s">
        <v>17</v>
      </c>
      <c r="C385" t="s">
        <v>18</v>
      </c>
      <c r="D385">
        <v>50000</v>
      </c>
      <c r="E385" t="str">
        <f>IF(Sales_Data[[#This Row],[Income]]&lt;=20000,"Low Income",IF(Sales_Data[[#This Row],[Income]]&lt;=40000,"Lower Middle",IF(Sales_Data[[#This Row],[Income]]&lt;=60000,"Middle Income",IF(Sales_Data[[#This Row],[Income]]&lt;=80000,"Upper Middle","High Income"))))</f>
        <v>Middle Income</v>
      </c>
      <c r="F385">
        <v>1</v>
      </c>
      <c r="G385" t="s">
        <v>19</v>
      </c>
      <c r="H385" t="s">
        <v>20</v>
      </c>
      <c r="I385" t="s">
        <v>21</v>
      </c>
      <c r="J385">
        <v>0</v>
      </c>
      <c r="K385" t="s">
        <v>22</v>
      </c>
      <c r="L385" t="s">
        <v>63</v>
      </c>
      <c r="M385">
        <v>34</v>
      </c>
      <c r="N385" t="s">
        <v>38</v>
      </c>
      <c r="O385" t="s">
        <v>47</v>
      </c>
      <c r="P385" s="2">
        <v>6009.1</v>
      </c>
      <c r="Q385" t="s">
        <v>58</v>
      </c>
      <c r="R385" s="1">
        <v>45137</v>
      </c>
      <c r="S385" s="1"/>
    </row>
    <row r="386" spans="1:19" x14ac:dyDescent="0.3">
      <c r="A386">
        <v>18607</v>
      </c>
      <c r="B386" t="s">
        <v>35</v>
      </c>
      <c r="C386" t="s">
        <v>18</v>
      </c>
      <c r="D386">
        <v>60000</v>
      </c>
      <c r="E386" t="str">
        <f>IF(Sales_Data[[#This Row],[Income]]&lt;=20000,"Low Income",IF(Sales_Data[[#This Row],[Income]]&lt;=40000,"Lower Middle",IF(Sales_Data[[#This Row],[Income]]&lt;=60000,"Middle Income",IF(Sales_Data[[#This Row],[Income]]&lt;=80000,"Upper Middle","High Income"))))</f>
        <v>Middle Income</v>
      </c>
      <c r="F386">
        <v>4</v>
      </c>
      <c r="G386" t="s">
        <v>19</v>
      </c>
      <c r="H386" t="s">
        <v>20</v>
      </c>
      <c r="I386" t="s">
        <v>21</v>
      </c>
      <c r="J386">
        <v>2</v>
      </c>
      <c r="K386" t="s">
        <v>33</v>
      </c>
      <c r="L386" t="s">
        <v>63</v>
      </c>
      <c r="M386">
        <v>42</v>
      </c>
      <c r="N386" t="s">
        <v>38</v>
      </c>
      <c r="O386" t="s">
        <v>41</v>
      </c>
      <c r="P386" s="2">
        <v>3233.33</v>
      </c>
      <c r="Q386" t="s">
        <v>40</v>
      </c>
      <c r="R386" s="1">
        <v>45073</v>
      </c>
      <c r="S386" s="1"/>
    </row>
    <row r="387" spans="1:19" x14ac:dyDescent="0.3">
      <c r="A387">
        <v>26305</v>
      </c>
      <c r="B387" t="s">
        <v>35</v>
      </c>
      <c r="C387" t="s">
        <v>18</v>
      </c>
      <c r="D387">
        <v>60000</v>
      </c>
      <c r="E387" t="str">
        <f>IF(Sales_Data[[#This Row],[Income]]&lt;=20000,"Low Income",IF(Sales_Data[[#This Row],[Income]]&lt;=40000,"Lower Middle",IF(Sales_Data[[#This Row],[Income]]&lt;=60000,"Middle Income",IF(Sales_Data[[#This Row],[Income]]&lt;=80000,"Upper Middle","High Income"))))</f>
        <v>Middle Income</v>
      </c>
      <c r="F387">
        <v>2</v>
      </c>
      <c r="G387" t="s">
        <v>19</v>
      </c>
      <c r="H387" t="s">
        <v>20</v>
      </c>
      <c r="I387" t="s">
        <v>32</v>
      </c>
      <c r="J387">
        <v>0</v>
      </c>
      <c r="K387" t="s">
        <v>22</v>
      </c>
      <c r="L387" t="s">
        <v>63</v>
      </c>
      <c r="M387">
        <v>36</v>
      </c>
      <c r="N387" t="s">
        <v>24</v>
      </c>
      <c r="O387" t="s">
        <v>34</v>
      </c>
      <c r="P387" s="2">
        <v>457.02</v>
      </c>
      <c r="Q387" t="s">
        <v>58</v>
      </c>
      <c r="R387" s="1">
        <v>45131</v>
      </c>
      <c r="S387" s="1"/>
    </row>
    <row r="388" spans="1:19" x14ac:dyDescent="0.3">
      <c r="A388">
        <v>25394</v>
      </c>
      <c r="B388" t="s">
        <v>17</v>
      </c>
      <c r="C388" t="s">
        <v>17</v>
      </c>
      <c r="D388">
        <v>60000</v>
      </c>
      <c r="E388" t="str">
        <f>IF(Sales_Data[[#This Row],[Income]]&lt;=20000,"Low Income",IF(Sales_Data[[#This Row],[Income]]&lt;=40000,"Lower Middle",IF(Sales_Data[[#This Row],[Income]]&lt;=60000,"Middle Income",IF(Sales_Data[[#This Row],[Income]]&lt;=80000,"Upper Middle","High Income"))))</f>
        <v>Middle Income</v>
      </c>
      <c r="F388">
        <v>1</v>
      </c>
      <c r="G388" t="s">
        <v>61</v>
      </c>
      <c r="H388" t="s">
        <v>31</v>
      </c>
      <c r="I388" t="s">
        <v>21</v>
      </c>
      <c r="J388">
        <v>0</v>
      </c>
      <c r="K388" t="s">
        <v>33</v>
      </c>
      <c r="L388" t="s">
        <v>63</v>
      </c>
      <c r="M388">
        <v>34</v>
      </c>
      <c r="N388" t="s">
        <v>38</v>
      </c>
      <c r="O388" t="s">
        <v>54</v>
      </c>
      <c r="P388" s="2">
        <v>5617.95</v>
      </c>
      <c r="Q388" t="s">
        <v>48</v>
      </c>
      <c r="R388" s="1">
        <v>45164</v>
      </c>
      <c r="S388" s="1"/>
    </row>
    <row r="389" spans="1:19" x14ac:dyDescent="0.3">
      <c r="A389">
        <v>19747</v>
      </c>
      <c r="B389" t="s">
        <v>17</v>
      </c>
      <c r="C389" t="s">
        <v>17</v>
      </c>
      <c r="D389">
        <v>50000</v>
      </c>
      <c r="E389" t="str">
        <f>IF(Sales_Data[[#This Row],[Income]]&lt;=20000,"Low Income",IF(Sales_Data[[#This Row],[Income]]&lt;=40000,"Lower Middle",IF(Sales_Data[[#This Row],[Income]]&lt;=60000,"Middle Income",IF(Sales_Data[[#This Row],[Income]]&lt;=80000,"Upper Middle","High Income"))))</f>
        <v>Middle Income</v>
      </c>
      <c r="F389">
        <v>4</v>
      </c>
      <c r="G389" t="s">
        <v>19</v>
      </c>
      <c r="H389" t="s">
        <v>46</v>
      </c>
      <c r="I389" t="s">
        <v>21</v>
      </c>
      <c r="J389">
        <v>2</v>
      </c>
      <c r="K389" t="s">
        <v>53</v>
      </c>
      <c r="L389" t="s">
        <v>63</v>
      </c>
      <c r="M389">
        <v>63</v>
      </c>
      <c r="N389" t="s">
        <v>24</v>
      </c>
      <c r="O389" t="s">
        <v>49</v>
      </c>
      <c r="P389" s="2">
        <v>723.36</v>
      </c>
      <c r="Q389" t="s">
        <v>26</v>
      </c>
      <c r="R389" s="1">
        <v>45290</v>
      </c>
      <c r="S389" s="1"/>
    </row>
    <row r="390" spans="1:19" x14ac:dyDescent="0.3">
      <c r="A390">
        <v>23195</v>
      </c>
      <c r="B390" t="s">
        <v>35</v>
      </c>
      <c r="C390" t="s">
        <v>17</v>
      </c>
      <c r="D390">
        <v>50000</v>
      </c>
      <c r="E390" t="str">
        <f>IF(Sales_Data[[#This Row],[Income]]&lt;=20000,"Low Income",IF(Sales_Data[[#This Row],[Income]]&lt;=40000,"Lower Middle",IF(Sales_Data[[#This Row],[Income]]&lt;=60000,"Middle Income",IF(Sales_Data[[#This Row],[Income]]&lt;=80000,"Upper Middle","High Income"))))</f>
        <v>Middle Income</v>
      </c>
      <c r="F390">
        <v>3</v>
      </c>
      <c r="G390" t="s">
        <v>19</v>
      </c>
      <c r="H390" t="s">
        <v>20</v>
      </c>
      <c r="I390" t="s">
        <v>21</v>
      </c>
      <c r="J390">
        <v>2</v>
      </c>
      <c r="K390" t="s">
        <v>33</v>
      </c>
      <c r="L390" t="s">
        <v>63</v>
      </c>
      <c r="M390">
        <v>41</v>
      </c>
      <c r="N390" t="s">
        <v>38</v>
      </c>
      <c r="O390" t="s">
        <v>41</v>
      </c>
      <c r="P390" s="2">
        <v>8289.1</v>
      </c>
      <c r="Q390" t="s">
        <v>51</v>
      </c>
      <c r="R390" s="1">
        <v>45089</v>
      </c>
      <c r="S390" s="1"/>
    </row>
    <row r="391" spans="1:19" x14ac:dyDescent="0.3">
      <c r="A391">
        <v>21695</v>
      </c>
      <c r="B391" t="s">
        <v>17</v>
      </c>
      <c r="C391" t="s">
        <v>17</v>
      </c>
      <c r="D391">
        <v>60000</v>
      </c>
      <c r="E391" t="str">
        <f>IF(Sales_Data[[#This Row],[Income]]&lt;=20000,"Low Income",IF(Sales_Data[[#This Row],[Income]]&lt;=40000,"Lower Middle",IF(Sales_Data[[#This Row],[Income]]&lt;=60000,"Middle Income",IF(Sales_Data[[#This Row],[Income]]&lt;=80000,"Upper Middle","High Income"))))</f>
        <v>Middle Income</v>
      </c>
      <c r="F391">
        <v>0</v>
      </c>
      <c r="G391" t="s">
        <v>61</v>
      </c>
      <c r="H391" t="s">
        <v>20</v>
      </c>
      <c r="I391" t="s">
        <v>21</v>
      </c>
      <c r="J391">
        <v>0</v>
      </c>
      <c r="K391" t="s">
        <v>43</v>
      </c>
      <c r="L391" t="s">
        <v>63</v>
      </c>
      <c r="M391">
        <v>39</v>
      </c>
      <c r="N391" t="s">
        <v>38</v>
      </c>
      <c r="O391" t="s">
        <v>39</v>
      </c>
      <c r="P391" s="2">
        <v>4060.31</v>
      </c>
      <c r="Q391" t="s">
        <v>48</v>
      </c>
      <c r="R391" s="1">
        <v>45168</v>
      </c>
      <c r="S391" s="1"/>
    </row>
    <row r="392" spans="1:19" x14ac:dyDescent="0.3">
      <c r="A392">
        <v>28657</v>
      </c>
      <c r="B392" t="s">
        <v>35</v>
      </c>
      <c r="C392" t="s">
        <v>17</v>
      </c>
      <c r="D392">
        <v>60000</v>
      </c>
      <c r="E392" t="str">
        <f>IF(Sales_Data[[#This Row],[Income]]&lt;=20000,"Low Income",IF(Sales_Data[[#This Row],[Income]]&lt;=40000,"Lower Middle",IF(Sales_Data[[#This Row],[Income]]&lt;=60000,"Middle Income",IF(Sales_Data[[#This Row],[Income]]&lt;=80000,"Upper Middle","High Income"))))</f>
        <v>Middle Income</v>
      </c>
      <c r="F392">
        <v>2</v>
      </c>
      <c r="G392" t="s">
        <v>19</v>
      </c>
      <c r="H392" t="s">
        <v>20</v>
      </c>
      <c r="I392" t="s">
        <v>21</v>
      </c>
      <c r="J392">
        <v>0</v>
      </c>
      <c r="K392" t="s">
        <v>33</v>
      </c>
      <c r="L392" t="s">
        <v>63</v>
      </c>
      <c r="M392">
        <v>36</v>
      </c>
      <c r="N392" t="s">
        <v>24</v>
      </c>
      <c r="O392" t="s">
        <v>55</v>
      </c>
      <c r="P392" s="2">
        <v>6847.53</v>
      </c>
      <c r="Q392" t="s">
        <v>44</v>
      </c>
      <c r="R392" s="1">
        <v>44949</v>
      </c>
      <c r="S392" s="1"/>
    </row>
    <row r="393" spans="1:19" x14ac:dyDescent="0.3">
      <c r="A393">
        <v>21752</v>
      </c>
      <c r="B393" t="s">
        <v>17</v>
      </c>
      <c r="C393" t="s">
        <v>17</v>
      </c>
      <c r="D393">
        <v>60000</v>
      </c>
      <c r="E393" t="str">
        <f>IF(Sales_Data[[#This Row],[Income]]&lt;=20000,"Low Income",IF(Sales_Data[[#This Row],[Income]]&lt;=40000,"Lower Middle",IF(Sales_Data[[#This Row],[Income]]&lt;=60000,"Middle Income",IF(Sales_Data[[#This Row],[Income]]&lt;=80000,"Upper Middle","High Income"))))</f>
        <v>Middle Income</v>
      </c>
      <c r="F393">
        <v>3</v>
      </c>
      <c r="G393" t="s">
        <v>61</v>
      </c>
      <c r="H393" t="s">
        <v>46</v>
      </c>
      <c r="I393" t="s">
        <v>21</v>
      </c>
      <c r="J393">
        <v>2</v>
      </c>
      <c r="K393" t="s">
        <v>53</v>
      </c>
      <c r="L393" t="s">
        <v>63</v>
      </c>
      <c r="M393">
        <v>64</v>
      </c>
      <c r="N393" t="s">
        <v>38</v>
      </c>
      <c r="O393" t="s">
        <v>47</v>
      </c>
      <c r="P393" s="2">
        <v>7993.41</v>
      </c>
      <c r="Q393" t="s">
        <v>52</v>
      </c>
      <c r="R393" s="1">
        <v>44980</v>
      </c>
      <c r="S393" s="1"/>
    </row>
    <row r="394" spans="1:19" x14ac:dyDescent="0.3">
      <c r="A394">
        <v>15862</v>
      </c>
      <c r="B394" t="s">
        <v>35</v>
      </c>
      <c r="C394" t="s">
        <v>18</v>
      </c>
      <c r="D394">
        <v>50000</v>
      </c>
      <c r="E394" t="str">
        <f>IF(Sales_Data[[#This Row],[Income]]&lt;=20000,"Low Income",IF(Sales_Data[[#This Row],[Income]]&lt;=40000,"Lower Middle",IF(Sales_Data[[#This Row],[Income]]&lt;=60000,"Middle Income",IF(Sales_Data[[#This Row],[Income]]&lt;=80000,"Upper Middle","High Income"))))</f>
        <v>Middle Income</v>
      </c>
      <c r="F394">
        <v>0</v>
      </c>
      <c r="G394" t="s">
        <v>61</v>
      </c>
      <c r="H394" t="s">
        <v>20</v>
      </c>
      <c r="I394" t="s">
        <v>21</v>
      </c>
      <c r="J394">
        <v>0</v>
      </c>
      <c r="K394" t="s">
        <v>43</v>
      </c>
      <c r="L394" t="s">
        <v>63</v>
      </c>
      <c r="M394">
        <v>33</v>
      </c>
      <c r="N394" t="s">
        <v>38</v>
      </c>
      <c r="O394" t="s">
        <v>54</v>
      </c>
      <c r="P394" s="2">
        <v>9767.99</v>
      </c>
      <c r="Q394" t="s">
        <v>57</v>
      </c>
      <c r="R394" s="1">
        <v>45213</v>
      </c>
      <c r="S394" s="1"/>
    </row>
    <row r="395" spans="1:19" x14ac:dyDescent="0.3">
      <c r="A395">
        <v>23449</v>
      </c>
      <c r="B395" t="s">
        <v>17</v>
      </c>
      <c r="C395" t="s">
        <v>17</v>
      </c>
      <c r="D395">
        <v>60000</v>
      </c>
      <c r="E395" t="str">
        <f>IF(Sales_Data[[#This Row],[Income]]&lt;=20000,"Low Income",IF(Sales_Data[[#This Row],[Income]]&lt;=40000,"Lower Middle",IF(Sales_Data[[#This Row],[Income]]&lt;=60000,"Middle Income",IF(Sales_Data[[#This Row],[Income]]&lt;=80000,"Upper Middle","High Income"))))</f>
        <v>Middle Income</v>
      </c>
      <c r="F395">
        <v>2</v>
      </c>
      <c r="G395" t="s">
        <v>45</v>
      </c>
      <c r="H395" t="s">
        <v>31</v>
      </c>
      <c r="I395" t="s">
        <v>21</v>
      </c>
      <c r="J395">
        <v>2</v>
      </c>
      <c r="K395" t="s">
        <v>36</v>
      </c>
      <c r="L395" t="s">
        <v>63</v>
      </c>
      <c r="M395">
        <v>48</v>
      </c>
      <c r="N395" t="s">
        <v>24</v>
      </c>
      <c r="O395" t="s">
        <v>29</v>
      </c>
      <c r="P395" s="2">
        <v>8961.89</v>
      </c>
      <c r="Q395" t="s">
        <v>51</v>
      </c>
      <c r="R395" s="1">
        <v>45089</v>
      </c>
      <c r="S395" s="1"/>
    </row>
    <row r="396" spans="1:19" x14ac:dyDescent="0.3">
      <c r="A396">
        <v>23459</v>
      </c>
      <c r="B396" t="s">
        <v>17</v>
      </c>
      <c r="C396" t="s">
        <v>17</v>
      </c>
      <c r="D396">
        <v>60000</v>
      </c>
      <c r="E396" t="str">
        <f>IF(Sales_Data[[#This Row],[Income]]&lt;=20000,"Low Income",IF(Sales_Data[[#This Row],[Income]]&lt;=40000,"Lower Middle",IF(Sales_Data[[#This Row],[Income]]&lt;=60000,"Middle Income",IF(Sales_Data[[#This Row],[Income]]&lt;=80000,"Upper Middle","High Income"))))</f>
        <v>Middle Income</v>
      </c>
      <c r="F396">
        <v>2</v>
      </c>
      <c r="G396" t="s">
        <v>45</v>
      </c>
      <c r="H396" t="s">
        <v>31</v>
      </c>
      <c r="I396" t="s">
        <v>21</v>
      </c>
      <c r="J396">
        <v>2</v>
      </c>
      <c r="K396" t="s">
        <v>36</v>
      </c>
      <c r="L396" t="s">
        <v>63</v>
      </c>
      <c r="M396">
        <v>50</v>
      </c>
      <c r="N396" t="s">
        <v>38</v>
      </c>
      <c r="O396" t="s">
        <v>39</v>
      </c>
      <c r="P396" s="2">
        <v>3108.64</v>
      </c>
      <c r="Q396" t="s">
        <v>30</v>
      </c>
      <c r="R396" s="1">
        <v>45007</v>
      </c>
      <c r="S396" s="1"/>
    </row>
    <row r="397" spans="1:19" x14ac:dyDescent="0.3">
      <c r="A397">
        <v>11941</v>
      </c>
      <c r="B397" t="s">
        <v>35</v>
      </c>
      <c r="C397" t="s">
        <v>17</v>
      </c>
      <c r="D397">
        <v>60000</v>
      </c>
      <c r="E397" t="str">
        <f>IF(Sales_Data[[#This Row],[Income]]&lt;=20000,"Low Income",IF(Sales_Data[[#This Row],[Income]]&lt;=40000,"Lower Middle",IF(Sales_Data[[#This Row],[Income]]&lt;=60000,"Middle Income",IF(Sales_Data[[#This Row],[Income]]&lt;=80000,"Upper Middle","High Income"))))</f>
        <v>Middle Income</v>
      </c>
      <c r="F397">
        <v>0</v>
      </c>
      <c r="G397" t="s">
        <v>27</v>
      </c>
      <c r="H397" t="s">
        <v>20</v>
      </c>
      <c r="I397" t="s">
        <v>21</v>
      </c>
      <c r="J397">
        <v>0</v>
      </c>
      <c r="K397" t="s">
        <v>36</v>
      </c>
      <c r="L397" t="s">
        <v>63</v>
      </c>
      <c r="M397">
        <v>29</v>
      </c>
      <c r="N397" t="s">
        <v>24</v>
      </c>
      <c r="O397" t="s">
        <v>25</v>
      </c>
      <c r="P397" s="2">
        <v>2053.1799999999998</v>
      </c>
      <c r="Q397" t="s">
        <v>56</v>
      </c>
      <c r="R397" s="1">
        <v>45170</v>
      </c>
      <c r="S397" s="1"/>
    </row>
    <row r="398" spans="1:19" x14ac:dyDescent="0.3">
      <c r="A398">
        <v>14389</v>
      </c>
      <c r="B398" t="s">
        <v>17</v>
      </c>
      <c r="C398" t="s">
        <v>17</v>
      </c>
      <c r="D398">
        <v>60000</v>
      </c>
      <c r="E398" t="str">
        <f>IF(Sales_Data[[#This Row],[Income]]&lt;=20000,"Low Income",IF(Sales_Data[[#This Row],[Income]]&lt;=40000,"Lower Middle",IF(Sales_Data[[#This Row],[Income]]&lt;=60000,"Middle Income",IF(Sales_Data[[#This Row],[Income]]&lt;=80000,"Upper Middle","High Income"))))</f>
        <v>Middle Income</v>
      </c>
      <c r="F398">
        <v>2</v>
      </c>
      <c r="G398" t="s">
        <v>19</v>
      </c>
      <c r="H398" t="s">
        <v>46</v>
      </c>
      <c r="I398" t="s">
        <v>21</v>
      </c>
      <c r="J398">
        <v>0</v>
      </c>
      <c r="K398" t="s">
        <v>33</v>
      </c>
      <c r="L398" t="s">
        <v>63</v>
      </c>
      <c r="M398">
        <v>59</v>
      </c>
      <c r="N398" t="s">
        <v>38</v>
      </c>
      <c r="O398" t="s">
        <v>62</v>
      </c>
      <c r="P398" s="2">
        <v>9118.9599999999991</v>
      </c>
      <c r="Q398" t="s">
        <v>44</v>
      </c>
      <c r="R398" s="1">
        <v>44955</v>
      </c>
      <c r="S398" s="1"/>
    </row>
    <row r="399" spans="1:19" x14ac:dyDescent="0.3">
      <c r="A399">
        <v>18050</v>
      </c>
      <c r="B399" t="s">
        <v>17</v>
      </c>
      <c r="C399" t="s">
        <v>18</v>
      </c>
      <c r="D399">
        <v>60000</v>
      </c>
      <c r="E399" t="str">
        <f>IF(Sales_Data[[#This Row],[Income]]&lt;=20000,"Low Income",IF(Sales_Data[[#This Row],[Income]]&lt;=40000,"Lower Middle",IF(Sales_Data[[#This Row],[Income]]&lt;=60000,"Middle Income",IF(Sales_Data[[#This Row],[Income]]&lt;=80000,"Upper Middle","High Income"))))</f>
        <v>Middle Income</v>
      </c>
      <c r="F399">
        <v>1</v>
      </c>
      <c r="G399" t="s">
        <v>27</v>
      </c>
      <c r="H399" t="s">
        <v>20</v>
      </c>
      <c r="I399" t="s">
        <v>21</v>
      </c>
      <c r="J399">
        <v>1</v>
      </c>
      <c r="K399" t="s">
        <v>22</v>
      </c>
      <c r="L399" t="s">
        <v>63</v>
      </c>
      <c r="M399">
        <v>45</v>
      </c>
      <c r="N399" t="s">
        <v>38</v>
      </c>
      <c r="O399" t="s">
        <v>41</v>
      </c>
      <c r="P399" s="2">
        <v>3797.43</v>
      </c>
      <c r="Q399" t="s">
        <v>30</v>
      </c>
      <c r="R399" s="1">
        <v>45015</v>
      </c>
      <c r="S399" s="1"/>
    </row>
    <row r="400" spans="1:19" x14ac:dyDescent="0.3">
      <c r="A400">
        <v>19856</v>
      </c>
      <c r="B400" t="s">
        <v>17</v>
      </c>
      <c r="C400" t="s">
        <v>18</v>
      </c>
      <c r="D400">
        <v>60000</v>
      </c>
      <c r="E400" t="str">
        <f>IF(Sales_Data[[#This Row],[Income]]&lt;=20000,"Low Income",IF(Sales_Data[[#This Row],[Income]]&lt;=40000,"Lower Middle",IF(Sales_Data[[#This Row],[Income]]&lt;=60000,"Middle Income",IF(Sales_Data[[#This Row],[Income]]&lt;=80000,"Upper Middle","High Income"))))</f>
        <v>Middle Income</v>
      </c>
      <c r="F400">
        <v>4</v>
      </c>
      <c r="G400" t="s">
        <v>19</v>
      </c>
      <c r="H400" t="s">
        <v>46</v>
      </c>
      <c r="I400" t="s">
        <v>21</v>
      </c>
      <c r="J400">
        <v>2</v>
      </c>
      <c r="K400" t="s">
        <v>33</v>
      </c>
      <c r="L400" t="s">
        <v>63</v>
      </c>
      <c r="M400">
        <v>60</v>
      </c>
      <c r="N400" t="s">
        <v>38</v>
      </c>
      <c r="O400" t="s">
        <v>41</v>
      </c>
      <c r="P400" s="2">
        <v>3347.26</v>
      </c>
      <c r="Q400" t="s">
        <v>48</v>
      </c>
      <c r="R400" s="1">
        <v>45158</v>
      </c>
      <c r="S400" s="1"/>
    </row>
    <row r="401" spans="1:19" x14ac:dyDescent="0.3">
      <c r="A401">
        <v>15292</v>
      </c>
      <c r="B401" t="s">
        <v>35</v>
      </c>
      <c r="C401" t="s">
        <v>18</v>
      </c>
      <c r="D401">
        <v>60000</v>
      </c>
      <c r="E401" t="str">
        <f>IF(Sales_Data[[#This Row],[Income]]&lt;=20000,"Low Income",IF(Sales_Data[[#This Row],[Income]]&lt;=40000,"Lower Middle",IF(Sales_Data[[#This Row],[Income]]&lt;=60000,"Middle Income",IF(Sales_Data[[#This Row],[Income]]&lt;=80000,"Upper Middle","High Income"))))</f>
        <v>Middle Income</v>
      </c>
      <c r="F401">
        <v>1</v>
      </c>
      <c r="G401" t="s">
        <v>61</v>
      </c>
      <c r="H401" t="s">
        <v>20</v>
      </c>
      <c r="I401" t="s">
        <v>21</v>
      </c>
      <c r="J401">
        <v>0</v>
      </c>
      <c r="K401" t="s">
        <v>43</v>
      </c>
      <c r="L401" t="s">
        <v>63</v>
      </c>
      <c r="M401">
        <v>35</v>
      </c>
      <c r="N401" t="s">
        <v>38</v>
      </c>
      <c r="O401" t="s">
        <v>47</v>
      </c>
      <c r="P401" s="2">
        <v>9061.81</v>
      </c>
      <c r="Q401" t="s">
        <v>26</v>
      </c>
      <c r="R401" s="1">
        <v>45284</v>
      </c>
      <c r="S401" s="1"/>
    </row>
    <row r="402" spans="1:19" x14ac:dyDescent="0.3">
      <c r="A402">
        <v>21587</v>
      </c>
      <c r="B402" t="s">
        <v>17</v>
      </c>
      <c r="C402" t="s">
        <v>18</v>
      </c>
      <c r="D402">
        <v>60000</v>
      </c>
      <c r="E402" t="str">
        <f>IF(Sales_Data[[#This Row],[Income]]&lt;=20000,"Low Income",IF(Sales_Data[[#This Row],[Income]]&lt;=40000,"Lower Middle",IF(Sales_Data[[#This Row],[Income]]&lt;=60000,"Middle Income",IF(Sales_Data[[#This Row],[Income]]&lt;=80000,"Upper Middle","High Income"))))</f>
        <v>Middle Income</v>
      </c>
      <c r="F402">
        <v>1</v>
      </c>
      <c r="G402" t="s">
        <v>61</v>
      </c>
      <c r="H402" t="s">
        <v>20</v>
      </c>
      <c r="I402" t="s">
        <v>21</v>
      </c>
      <c r="J402">
        <v>0</v>
      </c>
      <c r="K402" t="s">
        <v>33</v>
      </c>
      <c r="L402" t="s">
        <v>63</v>
      </c>
      <c r="M402">
        <v>34</v>
      </c>
      <c r="N402" t="s">
        <v>38</v>
      </c>
      <c r="O402" t="s">
        <v>47</v>
      </c>
      <c r="P402" s="2">
        <v>5746.78</v>
      </c>
      <c r="Q402" t="s">
        <v>59</v>
      </c>
      <c r="R402" s="1">
        <v>45018</v>
      </c>
      <c r="S402" s="1"/>
    </row>
    <row r="403" spans="1:19" x14ac:dyDescent="0.3">
      <c r="A403">
        <v>24322</v>
      </c>
      <c r="B403" t="s">
        <v>17</v>
      </c>
      <c r="C403" t="s">
        <v>18</v>
      </c>
      <c r="D403">
        <v>60000</v>
      </c>
      <c r="E403" t="str">
        <f>IF(Sales_Data[[#This Row],[Income]]&lt;=20000,"Low Income",IF(Sales_Data[[#This Row],[Income]]&lt;=40000,"Lower Middle",IF(Sales_Data[[#This Row],[Income]]&lt;=60000,"Middle Income",IF(Sales_Data[[#This Row],[Income]]&lt;=80000,"Upper Middle","High Income"))))</f>
        <v>Middle Income</v>
      </c>
      <c r="F403">
        <v>4</v>
      </c>
      <c r="G403" t="s">
        <v>19</v>
      </c>
      <c r="H403" t="s">
        <v>20</v>
      </c>
      <c r="I403" t="s">
        <v>32</v>
      </c>
      <c r="J403">
        <v>2</v>
      </c>
      <c r="K403" t="s">
        <v>22</v>
      </c>
      <c r="L403" t="s">
        <v>63</v>
      </c>
      <c r="M403">
        <v>42</v>
      </c>
      <c r="N403" t="s">
        <v>24</v>
      </c>
      <c r="O403" t="s">
        <v>55</v>
      </c>
      <c r="P403" s="2">
        <v>9248.6299999999992</v>
      </c>
      <c r="Q403" t="s">
        <v>60</v>
      </c>
      <c r="R403" s="1">
        <v>45251</v>
      </c>
      <c r="S403" s="1"/>
    </row>
    <row r="404" spans="1:19" x14ac:dyDescent="0.3">
      <c r="A404">
        <v>26298</v>
      </c>
      <c r="B404" t="s">
        <v>17</v>
      </c>
      <c r="C404" t="s">
        <v>18</v>
      </c>
      <c r="D404">
        <v>50000</v>
      </c>
      <c r="E404" t="str">
        <f>IF(Sales_Data[[#This Row],[Income]]&lt;=20000,"Low Income",IF(Sales_Data[[#This Row],[Income]]&lt;=40000,"Lower Middle",IF(Sales_Data[[#This Row],[Income]]&lt;=60000,"Middle Income",IF(Sales_Data[[#This Row],[Income]]&lt;=80000,"Upper Middle","High Income"))))</f>
        <v>Middle Income</v>
      </c>
      <c r="F404">
        <v>1</v>
      </c>
      <c r="G404" t="s">
        <v>19</v>
      </c>
      <c r="H404" t="s">
        <v>20</v>
      </c>
      <c r="I404" t="s">
        <v>21</v>
      </c>
      <c r="J404">
        <v>0</v>
      </c>
      <c r="K404" t="s">
        <v>33</v>
      </c>
      <c r="L404" t="s">
        <v>63</v>
      </c>
      <c r="M404">
        <v>34</v>
      </c>
      <c r="N404" t="s">
        <v>24</v>
      </c>
      <c r="O404" t="s">
        <v>25</v>
      </c>
      <c r="P404" s="2">
        <v>9958.44</v>
      </c>
      <c r="Q404" t="s">
        <v>44</v>
      </c>
      <c r="R404" s="1">
        <v>44935</v>
      </c>
      <c r="S404" s="1"/>
    </row>
    <row r="405" spans="1:19" x14ac:dyDescent="0.3">
      <c r="A405">
        <v>25419</v>
      </c>
      <c r="B405" t="s">
        <v>35</v>
      </c>
      <c r="C405" t="s">
        <v>17</v>
      </c>
      <c r="D405">
        <v>50000</v>
      </c>
      <c r="E405" t="str">
        <f>IF(Sales_Data[[#This Row],[Income]]&lt;=20000,"Low Income",IF(Sales_Data[[#This Row],[Income]]&lt;=40000,"Lower Middle",IF(Sales_Data[[#This Row],[Income]]&lt;=60000,"Middle Income",IF(Sales_Data[[#This Row],[Income]]&lt;=80000,"Upper Middle","High Income"))))</f>
        <v>Middle Income</v>
      </c>
      <c r="F405">
        <v>2</v>
      </c>
      <c r="G405" t="s">
        <v>19</v>
      </c>
      <c r="H405" t="s">
        <v>20</v>
      </c>
      <c r="I405" t="s">
        <v>32</v>
      </c>
      <c r="J405">
        <v>1</v>
      </c>
      <c r="K405" t="s">
        <v>22</v>
      </c>
      <c r="L405" t="s">
        <v>63</v>
      </c>
      <c r="M405">
        <v>38</v>
      </c>
      <c r="N405" t="s">
        <v>24</v>
      </c>
      <c r="O405" t="s">
        <v>34</v>
      </c>
      <c r="P405" s="2">
        <v>4672.37</v>
      </c>
      <c r="Q405" t="s">
        <v>44</v>
      </c>
      <c r="R405" s="1">
        <v>44928</v>
      </c>
      <c r="S405" s="1"/>
    </row>
    <row r="406" spans="1:19" x14ac:dyDescent="0.3">
      <c r="A406">
        <v>21693</v>
      </c>
      <c r="B406" t="s">
        <v>35</v>
      </c>
      <c r="C406" t="s">
        <v>18</v>
      </c>
      <c r="D406">
        <v>60000</v>
      </c>
      <c r="E406" t="str">
        <f>IF(Sales_Data[[#This Row],[Income]]&lt;=20000,"Low Income",IF(Sales_Data[[#This Row],[Income]]&lt;=40000,"Lower Middle",IF(Sales_Data[[#This Row],[Income]]&lt;=60000,"Middle Income",IF(Sales_Data[[#This Row],[Income]]&lt;=80000,"Upper Middle","High Income"))))</f>
        <v>Middle Income</v>
      </c>
      <c r="F406">
        <v>0</v>
      </c>
      <c r="G406" t="s">
        <v>61</v>
      </c>
      <c r="H406" t="s">
        <v>20</v>
      </c>
      <c r="I406" t="s">
        <v>32</v>
      </c>
      <c r="J406">
        <v>0</v>
      </c>
      <c r="K406" t="s">
        <v>22</v>
      </c>
      <c r="L406" t="s">
        <v>63</v>
      </c>
      <c r="M406">
        <v>40</v>
      </c>
      <c r="N406" t="s">
        <v>24</v>
      </c>
      <c r="O406" t="s">
        <v>55</v>
      </c>
      <c r="P406" s="2">
        <v>517.51</v>
      </c>
      <c r="Q406" t="s">
        <v>26</v>
      </c>
      <c r="R406" s="1">
        <v>45266</v>
      </c>
      <c r="S406" s="1"/>
    </row>
    <row r="407" spans="1:19" x14ac:dyDescent="0.3">
      <c r="A407">
        <v>14662</v>
      </c>
      <c r="B407" t="s">
        <v>17</v>
      </c>
      <c r="C407" t="s">
        <v>17</v>
      </c>
      <c r="D407">
        <v>60000</v>
      </c>
      <c r="E407" t="str">
        <f>IF(Sales_Data[[#This Row],[Income]]&lt;=20000,"Low Income",IF(Sales_Data[[#This Row],[Income]]&lt;=40000,"Lower Middle",IF(Sales_Data[[#This Row],[Income]]&lt;=60000,"Middle Income",IF(Sales_Data[[#This Row],[Income]]&lt;=80000,"Upper Middle","High Income"))))</f>
        <v>Middle Income</v>
      </c>
      <c r="F407">
        <v>1</v>
      </c>
      <c r="G407" t="s">
        <v>19</v>
      </c>
      <c r="H407" t="s">
        <v>31</v>
      </c>
      <c r="I407" t="s">
        <v>21</v>
      </c>
      <c r="J407">
        <v>1</v>
      </c>
      <c r="K407" t="s">
        <v>22</v>
      </c>
      <c r="L407" t="s">
        <v>63</v>
      </c>
      <c r="M407">
        <v>48</v>
      </c>
      <c r="N407" t="s">
        <v>24</v>
      </c>
      <c r="O407" t="s">
        <v>29</v>
      </c>
      <c r="P407" s="2">
        <v>1320.15</v>
      </c>
      <c r="Q407" t="s">
        <v>26</v>
      </c>
      <c r="R407" s="1">
        <v>45284</v>
      </c>
      <c r="S407" s="1"/>
    </row>
    <row r="408" spans="1:19" x14ac:dyDescent="0.3">
      <c r="A408">
        <v>13073</v>
      </c>
      <c r="B408" t="s">
        <v>17</v>
      </c>
      <c r="C408" t="s">
        <v>18</v>
      </c>
      <c r="D408">
        <v>60000</v>
      </c>
      <c r="E408" t="str">
        <f>IF(Sales_Data[[#This Row],[Income]]&lt;=20000,"Low Income",IF(Sales_Data[[#This Row],[Income]]&lt;=40000,"Lower Middle",IF(Sales_Data[[#This Row],[Income]]&lt;=60000,"Middle Income",IF(Sales_Data[[#This Row],[Income]]&lt;=80000,"Upper Middle","High Income"))))</f>
        <v>Middle Income</v>
      </c>
      <c r="F408">
        <v>0</v>
      </c>
      <c r="G408" t="s">
        <v>27</v>
      </c>
      <c r="H408" t="s">
        <v>31</v>
      </c>
      <c r="I408" t="s">
        <v>21</v>
      </c>
      <c r="J408">
        <v>2</v>
      </c>
      <c r="K408" t="s">
        <v>36</v>
      </c>
      <c r="L408" t="s">
        <v>63</v>
      </c>
      <c r="M408">
        <v>30</v>
      </c>
      <c r="N408" t="s">
        <v>24</v>
      </c>
      <c r="O408" t="s">
        <v>25</v>
      </c>
      <c r="P408" s="2">
        <v>2692.11</v>
      </c>
      <c r="Q408" t="s">
        <v>48</v>
      </c>
      <c r="R408" s="1">
        <v>45142</v>
      </c>
      <c r="S408" s="1"/>
    </row>
    <row r="409" spans="1:19" x14ac:dyDescent="0.3">
      <c r="A409">
        <v>20196</v>
      </c>
      <c r="B409" t="s">
        <v>17</v>
      </c>
      <c r="C409" t="s">
        <v>17</v>
      </c>
      <c r="D409">
        <v>60000</v>
      </c>
      <c r="E409" t="str">
        <f>IF(Sales_Data[[#This Row],[Income]]&lt;=20000,"Low Income",IF(Sales_Data[[#This Row],[Income]]&lt;=40000,"Lower Middle",IF(Sales_Data[[#This Row],[Income]]&lt;=60000,"Middle Income",IF(Sales_Data[[#This Row],[Income]]&lt;=80000,"Upper Middle","High Income"))))</f>
        <v>Middle Income</v>
      </c>
      <c r="F409">
        <v>1</v>
      </c>
      <c r="G409" t="s">
        <v>27</v>
      </c>
      <c r="H409" t="s">
        <v>20</v>
      </c>
      <c r="I409" t="s">
        <v>21</v>
      </c>
      <c r="J409">
        <v>1</v>
      </c>
      <c r="K409" t="s">
        <v>33</v>
      </c>
      <c r="L409" t="s">
        <v>63</v>
      </c>
      <c r="M409">
        <v>45</v>
      </c>
      <c r="N409" t="s">
        <v>38</v>
      </c>
      <c r="O409" t="s">
        <v>39</v>
      </c>
      <c r="P409" s="2">
        <v>9696.09</v>
      </c>
      <c r="Q409" t="s">
        <v>60</v>
      </c>
      <c r="R409" s="1">
        <v>45236</v>
      </c>
      <c r="S409" s="1"/>
    </row>
    <row r="410" spans="1:19" x14ac:dyDescent="0.3">
      <c r="A410">
        <v>16813</v>
      </c>
      <c r="B410" t="s">
        <v>17</v>
      </c>
      <c r="C410" t="s">
        <v>17</v>
      </c>
      <c r="D410">
        <v>60000</v>
      </c>
      <c r="E410" t="str">
        <f>IF(Sales_Data[[#This Row],[Income]]&lt;=20000,"Low Income",IF(Sales_Data[[#This Row],[Income]]&lt;=40000,"Lower Middle",IF(Sales_Data[[#This Row],[Income]]&lt;=60000,"Middle Income",IF(Sales_Data[[#This Row],[Income]]&lt;=80000,"Upper Middle","High Income"))))</f>
        <v>Middle Income</v>
      </c>
      <c r="F410">
        <v>2</v>
      </c>
      <c r="G410" t="s">
        <v>27</v>
      </c>
      <c r="H410" t="s">
        <v>31</v>
      </c>
      <c r="I410" t="s">
        <v>21</v>
      </c>
      <c r="J410">
        <v>2</v>
      </c>
      <c r="K410" t="s">
        <v>53</v>
      </c>
      <c r="L410" t="s">
        <v>63</v>
      </c>
      <c r="M410">
        <v>55</v>
      </c>
      <c r="N410" t="s">
        <v>24</v>
      </c>
      <c r="O410" t="s">
        <v>25</v>
      </c>
      <c r="P410" s="2">
        <v>5767.56</v>
      </c>
      <c r="Q410" t="s">
        <v>58</v>
      </c>
      <c r="R410" s="1">
        <v>45110</v>
      </c>
      <c r="S410" s="1"/>
    </row>
    <row r="411" spans="1:19" x14ac:dyDescent="0.3">
      <c r="A411">
        <v>27756</v>
      </c>
      <c r="B411" t="s">
        <v>35</v>
      </c>
      <c r="C411" t="s">
        <v>18</v>
      </c>
      <c r="D411">
        <v>50000</v>
      </c>
      <c r="E411" t="str">
        <f>IF(Sales_Data[[#This Row],[Income]]&lt;=20000,"Low Income",IF(Sales_Data[[#This Row],[Income]]&lt;=40000,"Lower Middle",IF(Sales_Data[[#This Row],[Income]]&lt;=60000,"Middle Income",IF(Sales_Data[[#This Row],[Income]]&lt;=80000,"Upper Middle","High Income"))))</f>
        <v>Middle Income</v>
      </c>
      <c r="F411">
        <v>3</v>
      </c>
      <c r="G411" t="s">
        <v>19</v>
      </c>
      <c r="H411" t="s">
        <v>20</v>
      </c>
      <c r="I411" t="s">
        <v>32</v>
      </c>
      <c r="J411">
        <v>1</v>
      </c>
      <c r="K411" t="s">
        <v>22</v>
      </c>
      <c r="L411" t="s">
        <v>63</v>
      </c>
      <c r="M411">
        <v>40</v>
      </c>
      <c r="N411" t="s">
        <v>38</v>
      </c>
      <c r="O411" t="s">
        <v>62</v>
      </c>
      <c r="P411" s="2">
        <v>4402.83</v>
      </c>
      <c r="Q411" t="s">
        <v>26</v>
      </c>
      <c r="R411" s="1">
        <v>45270</v>
      </c>
      <c r="S411" s="1"/>
    </row>
    <row r="412" spans="1:19" x14ac:dyDescent="0.3">
      <c r="A412">
        <v>23818</v>
      </c>
      <c r="B412" t="s">
        <v>17</v>
      </c>
      <c r="C412" t="s">
        <v>18</v>
      </c>
      <c r="D412">
        <v>50000</v>
      </c>
      <c r="E412" t="str">
        <f>IF(Sales_Data[[#This Row],[Income]]&lt;=20000,"Low Income",IF(Sales_Data[[#This Row],[Income]]&lt;=40000,"Lower Middle",IF(Sales_Data[[#This Row],[Income]]&lt;=60000,"Middle Income",IF(Sales_Data[[#This Row],[Income]]&lt;=80000,"Upper Middle","High Income"))))</f>
        <v>Middle Income</v>
      </c>
      <c r="F412">
        <v>0</v>
      </c>
      <c r="G412" t="s">
        <v>61</v>
      </c>
      <c r="H412" t="s">
        <v>20</v>
      </c>
      <c r="I412" t="s">
        <v>21</v>
      </c>
      <c r="J412">
        <v>0</v>
      </c>
      <c r="K412" t="s">
        <v>43</v>
      </c>
      <c r="L412" t="s">
        <v>63</v>
      </c>
      <c r="M412">
        <v>33</v>
      </c>
      <c r="N412" t="s">
        <v>38</v>
      </c>
      <c r="O412" t="s">
        <v>62</v>
      </c>
      <c r="P412" s="2">
        <v>667.86</v>
      </c>
      <c r="Q412" t="s">
        <v>40</v>
      </c>
      <c r="R412" s="1">
        <v>45067</v>
      </c>
      <c r="S412" s="1"/>
    </row>
    <row r="413" spans="1:19" x14ac:dyDescent="0.3">
      <c r="A413">
        <v>29037</v>
      </c>
      <c r="B413" t="s">
        <v>17</v>
      </c>
      <c r="C413" t="s">
        <v>17</v>
      </c>
      <c r="D413">
        <v>60000</v>
      </c>
      <c r="E413" t="str">
        <f>IF(Sales_Data[[#This Row],[Income]]&lt;=20000,"Low Income",IF(Sales_Data[[#This Row],[Income]]&lt;=40000,"Lower Middle",IF(Sales_Data[[#This Row],[Income]]&lt;=60000,"Middle Income",IF(Sales_Data[[#This Row],[Income]]&lt;=80000,"Upper Middle","High Income"))))</f>
        <v>Middle Income</v>
      </c>
      <c r="F413">
        <v>0</v>
      </c>
      <c r="G413" t="s">
        <v>61</v>
      </c>
      <c r="H413" t="s">
        <v>31</v>
      </c>
      <c r="I413" t="s">
        <v>32</v>
      </c>
      <c r="J413">
        <v>0</v>
      </c>
      <c r="K413" t="s">
        <v>22</v>
      </c>
      <c r="L413" t="s">
        <v>63</v>
      </c>
      <c r="M413">
        <v>39</v>
      </c>
      <c r="N413" t="s">
        <v>24</v>
      </c>
      <c r="O413" t="s">
        <v>34</v>
      </c>
      <c r="P413" s="2">
        <v>3665.65</v>
      </c>
      <c r="Q413" t="s">
        <v>51</v>
      </c>
      <c r="R413" s="1">
        <v>45094</v>
      </c>
      <c r="S413" s="1"/>
    </row>
    <row r="414" spans="1:19" x14ac:dyDescent="0.3">
      <c r="A414">
        <v>26576</v>
      </c>
      <c r="B414" t="s">
        <v>17</v>
      </c>
      <c r="C414" t="s">
        <v>18</v>
      </c>
      <c r="D414">
        <v>60000</v>
      </c>
      <c r="E414" t="str">
        <f>IF(Sales_Data[[#This Row],[Income]]&lt;=20000,"Low Income",IF(Sales_Data[[#This Row],[Income]]&lt;=40000,"Lower Middle",IF(Sales_Data[[#This Row],[Income]]&lt;=60000,"Middle Income",IF(Sales_Data[[#This Row],[Income]]&lt;=80000,"Upper Middle","High Income"))))</f>
        <v>Middle Income</v>
      </c>
      <c r="F414">
        <v>0</v>
      </c>
      <c r="G414" t="s">
        <v>27</v>
      </c>
      <c r="H414" t="s">
        <v>20</v>
      </c>
      <c r="I414" t="s">
        <v>21</v>
      </c>
      <c r="J414">
        <v>2</v>
      </c>
      <c r="K414" t="s">
        <v>36</v>
      </c>
      <c r="L414" t="s">
        <v>63</v>
      </c>
      <c r="M414">
        <v>31</v>
      </c>
      <c r="N414" t="s">
        <v>38</v>
      </c>
      <c r="O414" t="s">
        <v>47</v>
      </c>
      <c r="P414" s="2">
        <v>545.5</v>
      </c>
      <c r="Q414" t="s">
        <v>52</v>
      </c>
      <c r="R414" s="1">
        <v>44983</v>
      </c>
      <c r="S414" s="1"/>
    </row>
    <row r="415" spans="1:19" x14ac:dyDescent="0.3">
      <c r="A415">
        <v>12192</v>
      </c>
      <c r="B415" t="s">
        <v>35</v>
      </c>
      <c r="C415" t="s">
        <v>18</v>
      </c>
      <c r="D415">
        <v>60000</v>
      </c>
      <c r="E415" t="str">
        <f>IF(Sales_Data[[#This Row],[Income]]&lt;=20000,"Low Income",IF(Sales_Data[[#This Row],[Income]]&lt;=40000,"Lower Middle",IF(Sales_Data[[#This Row],[Income]]&lt;=60000,"Middle Income",IF(Sales_Data[[#This Row],[Income]]&lt;=80000,"Upper Middle","High Income"))))</f>
        <v>Middle Income</v>
      </c>
      <c r="F415">
        <v>2</v>
      </c>
      <c r="G415" t="s">
        <v>50</v>
      </c>
      <c r="H415" t="s">
        <v>20</v>
      </c>
      <c r="I415" t="s">
        <v>32</v>
      </c>
      <c r="J415">
        <v>2</v>
      </c>
      <c r="K415" t="s">
        <v>43</v>
      </c>
      <c r="L415" t="s">
        <v>63</v>
      </c>
      <c r="M415">
        <v>51</v>
      </c>
      <c r="N415" t="s">
        <v>38</v>
      </c>
      <c r="O415" t="s">
        <v>39</v>
      </c>
      <c r="P415" s="2">
        <v>8233.2000000000007</v>
      </c>
      <c r="Q415" t="s">
        <v>52</v>
      </c>
      <c r="R415" s="1">
        <v>44961</v>
      </c>
      <c r="S415" s="1"/>
    </row>
    <row r="416" spans="1:19" x14ac:dyDescent="0.3">
      <c r="A416">
        <v>11734</v>
      </c>
      <c r="B416" t="s">
        <v>17</v>
      </c>
      <c r="C416" t="s">
        <v>17</v>
      </c>
      <c r="D416">
        <v>60000</v>
      </c>
      <c r="E416" t="str">
        <f>IF(Sales_Data[[#This Row],[Income]]&lt;=20000,"Low Income",IF(Sales_Data[[#This Row],[Income]]&lt;=40000,"Lower Middle",IF(Sales_Data[[#This Row],[Income]]&lt;=60000,"Middle Income",IF(Sales_Data[[#This Row],[Income]]&lt;=80000,"Upper Middle","High Income"))))</f>
        <v>Middle Income</v>
      </c>
      <c r="F416">
        <v>1</v>
      </c>
      <c r="G416" t="s">
        <v>27</v>
      </c>
      <c r="H416" t="s">
        <v>20</v>
      </c>
      <c r="I416" t="s">
        <v>32</v>
      </c>
      <c r="J416">
        <v>1</v>
      </c>
      <c r="K416" t="s">
        <v>22</v>
      </c>
      <c r="L416" t="s">
        <v>63</v>
      </c>
      <c r="M416">
        <v>47</v>
      </c>
      <c r="N416" t="s">
        <v>38</v>
      </c>
      <c r="O416" t="s">
        <v>47</v>
      </c>
      <c r="P416" s="2">
        <v>3987.09</v>
      </c>
      <c r="Q416" t="s">
        <v>57</v>
      </c>
      <c r="R416" s="1">
        <v>45226</v>
      </c>
      <c r="S416" s="1"/>
    </row>
    <row r="417" spans="1:19" x14ac:dyDescent="0.3">
      <c r="A417">
        <v>28004</v>
      </c>
      <c r="B417" t="s">
        <v>17</v>
      </c>
      <c r="C417" t="s">
        <v>18</v>
      </c>
      <c r="D417">
        <v>60000</v>
      </c>
      <c r="E417" t="str">
        <f>IF(Sales_Data[[#This Row],[Income]]&lt;=20000,"Low Income",IF(Sales_Data[[#This Row],[Income]]&lt;=40000,"Lower Middle",IF(Sales_Data[[#This Row],[Income]]&lt;=60000,"Middle Income",IF(Sales_Data[[#This Row],[Income]]&lt;=80000,"Upper Middle","High Income"))))</f>
        <v>Middle Income</v>
      </c>
      <c r="F417">
        <v>3</v>
      </c>
      <c r="G417" t="s">
        <v>19</v>
      </c>
      <c r="H417" t="s">
        <v>46</v>
      </c>
      <c r="I417" t="s">
        <v>21</v>
      </c>
      <c r="J417">
        <v>2</v>
      </c>
      <c r="K417" t="s">
        <v>53</v>
      </c>
      <c r="L417" t="s">
        <v>63</v>
      </c>
      <c r="M417">
        <v>66</v>
      </c>
      <c r="N417" t="s">
        <v>24</v>
      </c>
      <c r="O417" t="s">
        <v>25</v>
      </c>
      <c r="P417" s="2">
        <v>4514.78</v>
      </c>
      <c r="Q417" t="s">
        <v>48</v>
      </c>
      <c r="R417" s="1">
        <v>45157</v>
      </c>
      <c r="S417" s="1"/>
    </row>
    <row r="418" spans="1:19" x14ac:dyDescent="0.3">
      <c r="A418">
        <v>25148</v>
      </c>
      <c r="B418" t="s">
        <v>17</v>
      </c>
      <c r="C418" t="s">
        <v>17</v>
      </c>
      <c r="D418">
        <v>60000</v>
      </c>
      <c r="E418" t="str">
        <f>IF(Sales_Data[[#This Row],[Income]]&lt;=20000,"Low Income",IF(Sales_Data[[#This Row],[Income]]&lt;=40000,"Lower Middle",IF(Sales_Data[[#This Row],[Income]]&lt;=60000,"Middle Income",IF(Sales_Data[[#This Row],[Income]]&lt;=80000,"Upper Middle","High Income"))))</f>
        <v>Middle Income</v>
      </c>
      <c r="F418">
        <v>2</v>
      </c>
      <c r="G418" t="s">
        <v>45</v>
      </c>
      <c r="H418" t="s">
        <v>31</v>
      </c>
      <c r="I418" t="s">
        <v>32</v>
      </c>
      <c r="J418">
        <v>2</v>
      </c>
      <c r="K418" t="s">
        <v>43</v>
      </c>
      <c r="L418" t="s">
        <v>63</v>
      </c>
      <c r="M418">
        <v>48</v>
      </c>
      <c r="N418" t="s">
        <v>24</v>
      </c>
      <c r="O418" t="s">
        <v>34</v>
      </c>
      <c r="P418" s="2">
        <v>1351.89</v>
      </c>
      <c r="Q418" t="s">
        <v>51</v>
      </c>
      <c r="R418" s="1">
        <v>45085</v>
      </c>
      <c r="S418" s="1"/>
    </row>
    <row r="419" spans="1:19" x14ac:dyDescent="0.3">
      <c r="A419">
        <v>13920</v>
      </c>
      <c r="B419" t="s">
        <v>35</v>
      </c>
      <c r="C419" t="s">
        <v>18</v>
      </c>
      <c r="D419">
        <v>50000</v>
      </c>
      <c r="E419" t="str">
        <f>IF(Sales_Data[[#This Row],[Income]]&lt;=20000,"Low Income",IF(Sales_Data[[#This Row],[Income]]&lt;=40000,"Lower Middle",IF(Sales_Data[[#This Row],[Income]]&lt;=60000,"Middle Income",IF(Sales_Data[[#This Row],[Income]]&lt;=80000,"Upper Middle","High Income"))))</f>
        <v>Middle Income</v>
      </c>
      <c r="F419">
        <v>4</v>
      </c>
      <c r="G419" t="s">
        <v>19</v>
      </c>
      <c r="H419" t="s">
        <v>20</v>
      </c>
      <c r="I419" t="s">
        <v>21</v>
      </c>
      <c r="J419">
        <v>2</v>
      </c>
      <c r="K419" t="s">
        <v>22</v>
      </c>
      <c r="L419" t="s">
        <v>63</v>
      </c>
      <c r="M419">
        <v>42</v>
      </c>
      <c r="N419" t="s">
        <v>24</v>
      </c>
      <c r="O419" t="s">
        <v>25</v>
      </c>
      <c r="P419" s="2">
        <v>9328.34</v>
      </c>
      <c r="Q419" t="s">
        <v>44</v>
      </c>
      <c r="R419" s="1">
        <v>44930</v>
      </c>
      <c r="S419" s="1"/>
    </row>
    <row r="420" spans="1:19" x14ac:dyDescent="0.3">
      <c r="A420">
        <v>28972</v>
      </c>
      <c r="B420" t="s">
        <v>35</v>
      </c>
      <c r="C420" t="s">
        <v>18</v>
      </c>
      <c r="D420">
        <v>60000</v>
      </c>
      <c r="E420" t="str">
        <f>IF(Sales_Data[[#This Row],[Income]]&lt;=20000,"Low Income",IF(Sales_Data[[#This Row],[Income]]&lt;=40000,"Lower Middle",IF(Sales_Data[[#This Row],[Income]]&lt;=60000,"Middle Income",IF(Sales_Data[[#This Row],[Income]]&lt;=80000,"Upper Middle","High Income"))))</f>
        <v>Middle Income</v>
      </c>
      <c r="F420">
        <v>3</v>
      </c>
      <c r="G420" t="s">
        <v>61</v>
      </c>
      <c r="H420" t="s">
        <v>46</v>
      </c>
      <c r="I420" t="s">
        <v>21</v>
      </c>
      <c r="J420">
        <v>2</v>
      </c>
      <c r="K420" t="s">
        <v>53</v>
      </c>
      <c r="L420" t="s">
        <v>63</v>
      </c>
      <c r="M420">
        <v>66</v>
      </c>
      <c r="N420" t="s">
        <v>38</v>
      </c>
      <c r="O420" t="s">
        <v>47</v>
      </c>
      <c r="P420" s="2">
        <v>8391.58</v>
      </c>
      <c r="Q420" t="s">
        <v>60</v>
      </c>
      <c r="R420" s="1">
        <v>45233</v>
      </c>
      <c r="S420" s="1"/>
    </row>
    <row r="421" spans="1:19" x14ac:dyDescent="0.3">
      <c r="A421">
        <v>29134</v>
      </c>
      <c r="B421" t="s">
        <v>17</v>
      </c>
      <c r="C421" t="s">
        <v>17</v>
      </c>
      <c r="D421">
        <v>60000</v>
      </c>
      <c r="E421" t="str">
        <f>IF(Sales_Data[[#This Row],[Income]]&lt;=20000,"Low Income",IF(Sales_Data[[#This Row],[Income]]&lt;=40000,"Lower Middle",IF(Sales_Data[[#This Row],[Income]]&lt;=60000,"Middle Income",IF(Sales_Data[[#This Row],[Income]]&lt;=80000,"Upper Middle","High Income"))))</f>
        <v>Middle Income</v>
      </c>
      <c r="F421">
        <v>4</v>
      </c>
      <c r="G421" t="s">
        <v>19</v>
      </c>
      <c r="H421" t="s">
        <v>20</v>
      </c>
      <c r="I421" t="s">
        <v>32</v>
      </c>
      <c r="J421">
        <v>3</v>
      </c>
      <c r="K421" t="s">
        <v>53</v>
      </c>
      <c r="L421" t="s">
        <v>63</v>
      </c>
      <c r="M421">
        <v>42</v>
      </c>
      <c r="N421" t="s">
        <v>38</v>
      </c>
      <c r="O421" t="s">
        <v>47</v>
      </c>
      <c r="P421" s="2">
        <v>8383.77</v>
      </c>
      <c r="Q421" t="s">
        <v>60</v>
      </c>
      <c r="R421" s="1">
        <v>45260</v>
      </c>
      <c r="S421" s="1"/>
    </row>
    <row r="422" spans="1:19" x14ac:dyDescent="0.3">
      <c r="A422">
        <v>19117</v>
      </c>
      <c r="B422" t="s">
        <v>35</v>
      </c>
      <c r="C422" t="s">
        <v>18</v>
      </c>
      <c r="D422">
        <v>60000</v>
      </c>
      <c r="E422" t="str">
        <f>IF(Sales_Data[[#This Row],[Income]]&lt;=20000,"Low Income",IF(Sales_Data[[#This Row],[Income]]&lt;=40000,"Lower Middle",IF(Sales_Data[[#This Row],[Income]]&lt;=60000,"Middle Income",IF(Sales_Data[[#This Row],[Income]]&lt;=80000,"Upper Middle","High Income"))))</f>
        <v>Middle Income</v>
      </c>
      <c r="F422">
        <v>1</v>
      </c>
      <c r="G422" t="s">
        <v>61</v>
      </c>
      <c r="H422" t="s">
        <v>31</v>
      </c>
      <c r="I422" t="s">
        <v>21</v>
      </c>
      <c r="J422">
        <v>0</v>
      </c>
      <c r="K422" t="s">
        <v>33</v>
      </c>
      <c r="L422" t="s">
        <v>63</v>
      </c>
      <c r="M422">
        <v>36</v>
      </c>
      <c r="N422" t="s">
        <v>38</v>
      </c>
      <c r="O422" t="s">
        <v>54</v>
      </c>
      <c r="P422" s="2">
        <v>3144.49</v>
      </c>
      <c r="Q422" t="s">
        <v>60</v>
      </c>
      <c r="R422" s="1">
        <v>45239</v>
      </c>
      <c r="S422" s="1"/>
    </row>
    <row r="423" spans="1:19" x14ac:dyDescent="0.3">
      <c r="A423">
        <v>23731</v>
      </c>
      <c r="B423" t="s">
        <v>17</v>
      </c>
      <c r="C423" t="s">
        <v>17</v>
      </c>
      <c r="D423">
        <v>60000</v>
      </c>
      <c r="E423" t="str">
        <f>IF(Sales_Data[[#This Row],[Income]]&lt;=20000,"Low Income",IF(Sales_Data[[#This Row],[Income]]&lt;=40000,"Lower Middle",IF(Sales_Data[[#This Row],[Income]]&lt;=60000,"Middle Income",IF(Sales_Data[[#This Row],[Income]]&lt;=80000,"Upper Middle","High Income"))))</f>
        <v>Middle Income</v>
      </c>
      <c r="F423">
        <v>2</v>
      </c>
      <c r="G423" t="s">
        <v>45</v>
      </c>
      <c r="H423" t="s">
        <v>31</v>
      </c>
      <c r="I423" t="s">
        <v>21</v>
      </c>
      <c r="J423">
        <v>2</v>
      </c>
      <c r="K423" t="s">
        <v>33</v>
      </c>
      <c r="L423" t="s">
        <v>63</v>
      </c>
      <c r="M423">
        <v>54</v>
      </c>
      <c r="N423" t="s">
        <v>24</v>
      </c>
      <c r="O423" t="s">
        <v>34</v>
      </c>
      <c r="P423" s="2">
        <v>4450.01</v>
      </c>
      <c r="Q423" t="s">
        <v>40</v>
      </c>
      <c r="R423" s="1">
        <v>45058</v>
      </c>
      <c r="S423" s="1"/>
    </row>
    <row r="424" spans="1:19" x14ac:dyDescent="0.3">
      <c r="A424">
        <v>11809</v>
      </c>
      <c r="B424" t="s">
        <v>17</v>
      </c>
      <c r="C424" t="s">
        <v>17</v>
      </c>
      <c r="D424">
        <v>60000</v>
      </c>
      <c r="E424" t="str">
        <f>IF(Sales_Data[[#This Row],[Income]]&lt;=20000,"Low Income",IF(Sales_Data[[#This Row],[Income]]&lt;=40000,"Lower Middle",IF(Sales_Data[[#This Row],[Income]]&lt;=60000,"Middle Income",IF(Sales_Data[[#This Row],[Income]]&lt;=80000,"Upper Middle","High Income"))))</f>
        <v>Middle Income</v>
      </c>
      <c r="F424">
        <v>2</v>
      </c>
      <c r="G424" t="s">
        <v>19</v>
      </c>
      <c r="H424" t="s">
        <v>20</v>
      </c>
      <c r="I424" t="s">
        <v>21</v>
      </c>
      <c r="J424">
        <v>0</v>
      </c>
      <c r="K424" t="s">
        <v>22</v>
      </c>
      <c r="L424" t="s">
        <v>63</v>
      </c>
      <c r="M424">
        <v>38</v>
      </c>
      <c r="N424" t="s">
        <v>24</v>
      </c>
      <c r="O424" t="s">
        <v>25</v>
      </c>
      <c r="P424" s="2">
        <v>4341.6499999999996</v>
      </c>
      <c r="Q424" t="s">
        <v>30</v>
      </c>
      <c r="R424" s="1">
        <v>45000</v>
      </c>
      <c r="S424" s="1"/>
    </row>
    <row r="425" spans="1:19" x14ac:dyDescent="0.3">
      <c r="A425">
        <v>12121</v>
      </c>
      <c r="B425" t="s">
        <v>35</v>
      </c>
      <c r="C425" t="s">
        <v>17</v>
      </c>
      <c r="D425">
        <v>60000</v>
      </c>
      <c r="E425" t="str">
        <f>IF(Sales_Data[[#This Row],[Income]]&lt;=20000,"Low Income",IF(Sales_Data[[#This Row],[Income]]&lt;=40000,"Lower Middle",IF(Sales_Data[[#This Row],[Income]]&lt;=60000,"Middle Income",IF(Sales_Data[[#This Row],[Income]]&lt;=80000,"Upper Middle","High Income"))))</f>
        <v>Middle Income</v>
      </c>
      <c r="F425">
        <v>3</v>
      </c>
      <c r="G425" t="s">
        <v>45</v>
      </c>
      <c r="H425" t="s">
        <v>31</v>
      </c>
      <c r="I425" t="s">
        <v>21</v>
      </c>
      <c r="J425">
        <v>2</v>
      </c>
      <c r="K425" t="s">
        <v>53</v>
      </c>
      <c r="L425" t="s">
        <v>63</v>
      </c>
      <c r="M425">
        <v>53</v>
      </c>
      <c r="N425" t="s">
        <v>24</v>
      </c>
      <c r="O425" t="s">
        <v>49</v>
      </c>
      <c r="P425" s="2">
        <v>1585.09</v>
      </c>
      <c r="Q425" t="s">
        <v>57</v>
      </c>
      <c r="R425" s="1">
        <v>45219</v>
      </c>
      <c r="S425" s="1"/>
    </row>
    <row r="426" spans="1:19" x14ac:dyDescent="0.3">
      <c r="A426">
        <v>23542</v>
      </c>
      <c r="B426" t="s">
        <v>35</v>
      </c>
      <c r="C426" t="s">
        <v>17</v>
      </c>
      <c r="D426">
        <v>60000</v>
      </c>
      <c r="E426" t="str">
        <f>IF(Sales_Data[[#This Row],[Income]]&lt;=20000,"Low Income",IF(Sales_Data[[#This Row],[Income]]&lt;=40000,"Lower Middle",IF(Sales_Data[[#This Row],[Income]]&lt;=60000,"Middle Income",IF(Sales_Data[[#This Row],[Income]]&lt;=80000,"Upper Middle","High Income"))))</f>
        <v>Middle Income</v>
      </c>
      <c r="F426">
        <v>1</v>
      </c>
      <c r="G426" t="s">
        <v>27</v>
      </c>
      <c r="H426" t="s">
        <v>20</v>
      </c>
      <c r="I426" t="s">
        <v>32</v>
      </c>
      <c r="J426">
        <v>1</v>
      </c>
      <c r="K426" t="s">
        <v>22</v>
      </c>
      <c r="L426" t="s">
        <v>37</v>
      </c>
      <c r="M426">
        <v>45</v>
      </c>
      <c r="N426" t="s">
        <v>38</v>
      </c>
      <c r="O426" t="s">
        <v>54</v>
      </c>
      <c r="P426" s="2">
        <v>9537.9599999999991</v>
      </c>
      <c r="Q426" t="s">
        <v>58</v>
      </c>
      <c r="R426" s="1">
        <v>45129</v>
      </c>
      <c r="S426" s="1"/>
    </row>
    <row r="427" spans="1:19" x14ac:dyDescent="0.3">
      <c r="A427">
        <v>12496</v>
      </c>
      <c r="B427" t="s">
        <v>17</v>
      </c>
      <c r="C427" t="s">
        <v>18</v>
      </c>
      <c r="D427">
        <v>40000</v>
      </c>
      <c r="E427" t="str">
        <f>IF(Sales_Data[[#This Row],[Income]]&lt;=20000,"Low Income",IF(Sales_Data[[#This Row],[Income]]&lt;=40000,"Lower Middle",IF(Sales_Data[[#This Row],[Income]]&lt;=60000,"Middle Income",IF(Sales_Data[[#This Row],[Income]]&lt;=80000,"Upper Middle","High Income"))))</f>
        <v>Lower Middle</v>
      </c>
      <c r="F427">
        <v>1</v>
      </c>
      <c r="G427" t="s">
        <v>19</v>
      </c>
      <c r="H427" t="s">
        <v>20</v>
      </c>
      <c r="I427" t="s">
        <v>21</v>
      </c>
      <c r="J427">
        <v>0</v>
      </c>
      <c r="K427" t="s">
        <v>22</v>
      </c>
      <c r="L427" t="s">
        <v>23</v>
      </c>
      <c r="M427">
        <v>42</v>
      </c>
      <c r="N427" t="s">
        <v>24</v>
      </c>
      <c r="O427" t="s">
        <v>25</v>
      </c>
      <c r="P427" s="2">
        <v>8157.13</v>
      </c>
      <c r="Q427" t="s">
        <v>26</v>
      </c>
      <c r="R427" s="1">
        <v>45275</v>
      </c>
      <c r="S427" s="1"/>
    </row>
    <row r="428" spans="1:19" x14ac:dyDescent="0.3">
      <c r="A428">
        <v>24107</v>
      </c>
      <c r="B428" t="s">
        <v>17</v>
      </c>
      <c r="C428" t="s">
        <v>17</v>
      </c>
      <c r="D428">
        <v>30000</v>
      </c>
      <c r="E428" t="str">
        <f>IF(Sales_Data[[#This Row],[Income]]&lt;=20000,"Low Income",IF(Sales_Data[[#This Row],[Income]]&lt;=40000,"Lower Middle",IF(Sales_Data[[#This Row],[Income]]&lt;=60000,"Middle Income",IF(Sales_Data[[#This Row],[Income]]&lt;=80000,"Upper Middle","High Income"))))</f>
        <v>Lower Middle</v>
      </c>
      <c r="F428">
        <v>3</v>
      </c>
      <c r="G428" t="s">
        <v>27</v>
      </c>
      <c r="H428" t="s">
        <v>28</v>
      </c>
      <c r="I428" t="s">
        <v>21</v>
      </c>
      <c r="J428">
        <v>1</v>
      </c>
      <c r="K428" t="s">
        <v>22</v>
      </c>
      <c r="L428" t="s">
        <v>23</v>
      </c>
      <c r="M428">
        <v>43</v>
      </c>
      <c r="N428" t="s">
        <v>24</v>
      </c>
      <c r="O428" t="s">
        <v>29</v>
      </c>
      <c r="P428" s="2">
        <v>8626.26</v>
      </c>
      <c r="Q428" t="s">
        <v>30</v>
      </c>
      <c r="R428" s="1">
        <v>44989</v>
      </c>
      <c r="S428" s="1"/>
    </row>
    <row r="429" spans="1:19" x14ac:dyDescent="0.3">
      <c r="A429">
        <v>25597</v>
      </c>
      <c r="B429" t="s">
        <v>35</v>
      </c>
      <c r="C429" t="s">
        <v>17</v>
      </c>
      <c r="D429">
        <v>30000</v>
      </c>
      <c r="E429" t="str">
        <f>IF(Sales_Data[[#This Row],[Income]]&lt;=20000,"Low Income",IF(Sales_Data[[#This Row],[Income]]&lt;=40000,"Lower Middle",IF(Sales_Data[[#This Row],[Income]]&lt;=60000,"Middle Income",IF(Sales_Data[[#This Row],[Income]]&lt;=80000,"Upper Middle","High Income"))))</f>
        <v>Lower Middle</v>
      </c>
      <c r="F429">
        <v>0</v>
      </c>
      <c r="G429" t="s">
        <v>19</v>
      </c>
      <c r="H429" t="s">
        <v>28</v>
      </c>
      <c r="I429" t="s">
        <v>32</v>
      </c>
      <c r="J429">
        <v>0</v>
      </c>
      <c r="K429" t="s">
        <v>22</v>
      </c>
      <c r="L429" t="s">
        <v>23</v>
      </c>
      <c r="M429">
        <v>36</v>
      </c>
      <c r="N429" t="s">
        <v>38</v>
      </c>
      <c r="O429" t="s">
        <v>41</v>
      </c>
      <c r="P429" s="2">
        <v>5387.26</v>
      </c>
      <c r="Q429" t="s">
        <v>30</v>
      </c>
      <c r="R429" s="1">
        <v>45016</v>
      </c>
      <c r="S429" s="1"/>
    </row>
    <row r="430" spans="1:19" x14ac:dyDescent="0.3">
      <c r="A430">
        <v>19364</v>
      </c>
      <c r="B430" t="s">
        <v>17</v>
      </c>
      <c r="C430" t="s">
        <v>17</v>
      </c>
      <c r="D430">
        <v>40000</v>
      </c>
      <c r="E430" t="str">
        <f>IF(Sales_Data[[#This Row],[Income]]&lt;=20000,"Low Income",IF(Sales_Data[[#This Row],[Income]]&lt;=40000,"Lower Middle",IF(Sales_Data[[#This Row],[Income]]&lt;=60000,"Middle Income",IF(Sales_Data[[#This Row],[Income]]&lt;=80000,"Upper Middle","High Income"))))</f>
        <v>Lower Middle</v>
      </c>
      <c r="F430">
        <v>1</v>
      </c>
      <c r="G430" t="s">
        <v>19</v>
      </c>
      <c r="H430" t="s">
        <v>20</v>
      </c>
      <c r="I430" t="s">
        <v>21</v>
      </c>
      <c r="J430">
        <v>0</v>
      </c>
      <c r="K430" t="s">
        <v>22</v>
      </c>
      <c r="L430" t="s">
        <v>23</v>
      </c>
      <c r="M430">
        <v>43</v>
      </c>
      <c r="N430" t="s">
        <v>24</v>
      </c>
      <c r="O430" t="s">
        <v>49</v>
      </c>
      <c r="P430" s="2">
        <v>8392.02</v>
      </c>
      <c r="Q430" t="s">
        <v>30</v>
      </c>
      <c r="R430" s="1">
        <v>45001</v>
      </c>
      <c r="S430" s="1"/>
    </row>
    <row r="431" spans="1:19" x14ac:dyDescent="0.3">
      <c r="A431">
        <v>22173</v>
      </c>
      <c r="B431" t="s">
        <v>17</v>
      </c>
      <c r="C431" t="s">
        <v>18</v>
      </c>
      <c r="D431">
        <v>30000</v>
      </c>
      <c r="E431" t="str">
        <f>IF(Sales_Data[[#This Row],[Income]]&lt;=20000,"Low Income",IF(Sales_Data[[#This Row],[Income]]&lt;=40000,"Lower Middle",IF(Sales_Data[[#This Row],[Income]]&lt;=60000,"Middle Income",IF(Sales_Data[[#This Row],[Income]]&lt;=80000,"Upper Middle","High Income"))))</f>
        <v>Lower Middle</v>
      </c>
      <c r="F431">
        <v>3</v>
      </c>
      <c r="G431" t="s">
        <v>45</v>
      </c>
      <c r="H431" t="s">
        <v>20</v>
      </c>
      <c r="I431" t="s">
        <v>32</v>
      </c>
      <c r="J431">
        <v>2</v>
      </c>
      <c r="K431" t="s">
        <v>43</v>
      </c>
      <c r="L431" t="s">
        <v>37</v>
      </c>
      <c r="M431">
        <v>54</v>
      </c>
      <c r="N431" t="s">
        <v>24</v>
      </c>
      <c r="O431" t="s">
        <v>34</v>
      </c>
      <c r="P431" s="2">
        <v>6949</v>
      </c>
      <c r="Q431" t="s">
        <v>30</v>
      </c>
      <c r="R431" s="1">
        <v>44992</v>
      </c>
      <c r="S431" s="1"/>
    </row>
    <row r="432" spans="1:19" x14ac:dyDescent="0.3">
      <c r="A432">
        <v>25323</v>
      </c>
      <c r="B432" t="s">
        <v>17</v>
      </c>
      <c r="C432" t="s">
        <v>17</v>
      </c>
      <c r="D432">
        <v>40000</v>
      </c>
      <c r="E432" t="str">
        <f>IF(Sales_Data[[#This Row],[Income]]&lt;=20000,"Low Income",IF(Sales_Data[[#This Row],[Income]]&lt;=40000,"Lower Middle",IF(Sales_Data[[#This Row],[Income]]&lt;=60000,"Middle Income",IF(Sales_Data[[#This Row],[Income]]&lt;=80000,"Upper Middle","High Income"))))</f>
        <v>Lower Middle</v>
      </c>
      <c r="F432">
        <v>2</v>
      </c>
      <c r="G432" t="s">
        <v>27</v>
      </c>
      <c r="H432" t="s">
        <v>28</v>
      </c>
      <c r="I432" t="s">
        <v>21</v>
      </c>
      <c r="J432">
        <v>1</v>
      </c>
      <c r="K432" t="s">
        <v>43</v>
      </c>
      <c r="L432" t="s">
        <v>23</v>
      </c>
      <c r="M432">
        <v>35</v>
      </c>
      <c r="N432" t="s">
        <v>38</v>
      </c>
      <c r="O432" t="s">
        <v>41</v>
      </c>
      <c r="P432" s="2">
        <v>6893.26</v>
      </c>
      <c r="Q432" t="s">
        <v>51</v>
      </c>
      <c r="R432" s="1">
        <v>45089</v>
      </c>
      <c r="S432" s="1"/>
    </row>
    <row r="433" spans="1:19" x14ac:dyDescent="0.3">
      <c r="A433">
        <v>23316</v>
      </c>
      <c r="B433" t="s">
        <v>35</v>
      </c>
      <c r="C433" t="s">
        <v>17</v>
      </c>
      <c r="D433">
        <v>30000</v>
      </c>
      <c r="E433" t="str">
        <f>IF(Sales_Data[[#This Row],[Income]]&lt;=20000,"Low Income",IF(Sales_Data[[#This Row],[Income]]&lt;=40000,"Lower Middle",IF(Sales_Data[[#This Row],[Income]]&lt;=60000,"Middle Income",IF(Sales_Data[[#This Row],[Income]]&lt;=80000,"Upper Middle","High Income"))))</f>
        <v>Lower Middle</v>
      </c>
      <c r="F433">
        <v>3</v>
      </c>
      <c r="G433" t="s">
        <v>27</v>
      </c>
      <c r="H433" t="s">
        <v>28</v>
      </c>
      <c r="I433" t="s">
        <v>32</v>
      </c>
      <c r="J433">
        <v>2</v>
      </c>
      <c r="K433" t="s">
        <v>43</v>
      </c>
      <c r="L433" t="s">
        <v>37</v>
      </c>
      <c r="M433">
        <v>59</v>
      </c>
      <c r="N433" t="s">
        <v>38</v>
      </c>
      <c r="O433" t="s">
        <v>47</v>
      </c>
      <c r="P433" s="2">
        <v>6729.48</v>
      </c>
      <c r="Q433" t="s">
        <v>26</v>
      </c>
      <c r="R433" s="1">
        <v>45278</v>
      </c>
      <c r="S433" s="1"/>
    </row>
    <row r="434" spans="1:19" x14ac:dyDescent="0.3">
      <c r="A434">
        <v>12610</v>
      </c>
      <c r="B434" t="s">
        <v>17</v>
      </c>
      <c r="C434" t="s">
        <v>18</v>
      </c>
      <c r="D434">
        <v>30000</v>
      </c>
      <c r="E434" t="str">
        <f>IF(Sales_Data[[#This Row],[Income]]&lt;=20000,"Low Income",IF(Sales_Data[[#This Row],[Income]]&lt;=40000,"Lower Middle",IF(Sales_Data[[#This Row],[Income]]&lt;=60000,"Middle Income",IF(Sales_Data[[#This Row],[Income]]&lt;=80000,"Upper Middle","High Income"))))</f>
        <v>Lower Middle</v>
      </c>
      <c r="F434">
        <v>1</v>
      </c>
      <c r="G434" t="s">
        <v>19</v>
      </c>
      <c r="H434" t="s">
        <v>28</v>
      </c>
      <c r="I434" t="s">
        <v>21</v>
      </c>
      <c r="J434">
        <v>0</v>
      </c>
      <c r="K434" t="s">
        <v>22</v>
      </c>
      <c r="L434" t="s">
        <v>23</v>
      </c>
      <c r="M434">
        <v>47</v>
      </c>
      <c r="N434" t="s">
        <v>24</v>
      </c>
      <c r="O434" t="s">
        <v>55</v>
      </c>
      <c r="P434" s="2">
        <v>4042.88</v>
      </c>
      <c r="Q434" t="s">
        <v>59</v>
      </c>
      <c r="R434" s="1">
        <v>45028</v>
      </c>
      <c r="S434" s="1"/>
    </row>
    <row r="435" spans="1:19" x14ac:dyDescent="0.3">
      <c r="A435">
        <v>27183</v>
      </c>
      <c r="B435" t="s">
        <v>35</v>
      </c>
      <c r="C435" t="s">
        <v>17</v>
      </c>
      <c r="D435">
        <v>40000</v>
      </c>
      <c r="E435" t="str">
        <f>IF(Sales_Data[[#This Row],[Income]]&lt;=20000,"Low Income",IF(Sales_Data[[#This Row],[Income]]&lt;=40000,"Lower Middle",IF(Sales_Data[[#This Row],[Income]]&lt;=60000,"Middle Income",IF(Sales_Data[[#This Row],[Income]]&lt;=80000,"Upper Middle","High Income"))))</f>
        <v>Lower Middle</v>
      </c>
      <c r="F435">
        <v>2</v>
      </c>
      <c r="G435" t="s">
        <v>27</v>
      </c>
      <c r="H435" t="s">
        <v>28</v>
      </c>
      <c r="I435" t="s">
        <v>21</v>
      </c>
      <c r="J435">
        <v>1</v>
      </c>
      <c r="K435" t="s">
        <v>43</v>
      </c>
      <c r="L435" t="s">
        <v>23</v>
      </c>
      <c r="M435">
        <v>35</v>
      </c>
      <c r="N435" t="s">
        <v>38</v>
      </c>
      <c r="O435" t="s">
        <v>39</v>
      </c>
      <c r="P435" s="2">
        <v>3796.64</v>
      </c>
      <c r="Q435" t="s">
        <v>30</v>
      </c>
      <c r="R435" s="1">
        <v>45003</v>
      </c>
      <c r="S435" s="1"/>
    </row>
    <row r="436" spans="1:19" x14ac:dyDescent="0.3">
      <c r="A436">
        <v>25598</v>
      </c>
      <c r="B436" t="s">
        <v>17</v>
      </c>
      <c r="C436" t="s">
        <v>18</v>
      </c>
      <c r="D436">
        <v>40000</v>
      </c>
      <c r="E436" t="str">
        <f>IF(Sales_Data[[#This Row],[Income]]&lt;=20000,"Low Income",IF(Sales_Data[[#This Row],[Income]]&lt;=40000,"Lower Middle",IF(Sales_Data[[#This Row],[Income]]&lt;=60000,"Middle Income",IF(Sales_Data[[#This Row],[Income]]&lt;=80000,"Upper Middle","High Income"))))</f>
        <v>Lower Middle</v>
      </c>
      <c r="F436">
        <v>0</v>
      </c>
      <c r="G436" t="s">
        <v>61</v>
      </c>
      <c r="H436" t="s">
        <v>28</v>
      </c>
      <c r="I436" t="s">
        <v>21</v>
      </c>
      <c r="J436">
        <v>0</v>
      </c>
      <c r="K436" t="s">
        <v>22</v>
      </c>
      <c r="L436" t="s">
        <v>23</v>
      </c>
      <c r="M436">
        <v>36</v>
      </c>
      <c r="N436" t="s">
        <v>24</v>
      </c>
      <c r="O436" t="s">
        <v>25</v>
      </c>
      <c r="P436" s="2">
        <v>1387.65</v>
      </c>
      <c r="Q436" t="s">
        <v>26</v>
      </c>
      <c r="R436" s="1">
        <v>45277</v>
      </c>
      <c r="S436" s="1"/>
    </row>
    <row r="437" spans="1:19" x14ac:dyDescent="0.3">
      <c r="A437">
        <v>19193</v>
      </c>
      <c r="B437" t="s">
        <v>35</v>
      </c>
      <c r="C437" t="s">
        <v>17</v>
      </c>
      <c r="D437">
        <v>40000</v>
      </c>
      <c r="E437" t="str">
        <f>IF(Sales_Data[[#This Row],[Income]]&lt;=20000,"Low Income",IF(Sales_Data[[#This Row],[Income]]&lt;=40000,"Lower Middle",IF(Sales_Data[[#This Row],[Income]]&lt;=60000,"Middle Income",IF(Sales_Data[[#This Row],[Income]]&lt;=80000,"Upper Middle","High Income"))))</f>
        <v>Lower Middle</v>
      </c>
      <c r="F437">
        <v>2</v>
      </c>
      <c r="G437" t="s">
        <v>27</v>
      </c>
      <c r="H437" t="s">
        <v>28</v>
      </c>
      <c r="I437" t="s">
        <v>21</v>
      </c>
      <c r="J437">
        <v>0</v>
      </c>
      <c r="K437" t="s">
        <v>43</v>
      </c>
      <c r="L437" t="s">
        <v>23</v>
      </c>
      <c r="M437">
        <v>35</v>
      </c>
      <c r="N437" t="s">
        <v>38</v>
      </c>
      <c r="O437" t="s">
        <v>62</v>
      </c>
      <c r="P437" s="2">
        <v>4729.34</v>
      </c>
      <c r="Q437" t="s">
        <v>56</v>
      </c>
      <c r="R437" s="1">
        <v>45191</v>
      </c>
      <c r="S437" s="1"/>
    </row>
    <row r="438" spans="1:19" x14ac:dyDescent="0.3">
      <c r="A438">
        <v>27184</v>
      </c>
      <c r="B438" t="s">
        <v>35</v>
      </c>
      <c r="C438" t="s">
        <v>17</v>
      </c>
      <c r="D438">
        <v>40000</v>
      </c>
      <c r="E438" t="str">
        <f>IF(Sales_Data[[#This Row],[Income]]&lt;=20000,"Low Income",IF(Sales_Data[[#This Row],[Income]]&lt;=40000,"Lower Middle",IF(Sales_Data[[#This Row],[Income]]&lt;=60000,"Middle Income",IF(Sales_Data[[#This Row],[Income]]&lt;=80000,"Upper Middle","High Income"))))</f>
        <v>Lower Middle</v>
      </c>
      <c r="F438">
        <v>2</v>
      </c>
      <c r="G438" t="s">
        <v>27</v>
      </c>
      <c r="H438" t="s">
        <v>28</v>
      </c>
      <c r="I438" t="s">
        <v>32</v>
      </c>
      <c r="J438">
        <v>1</v>
      </c>
      <c r="K438" t="s">
        <v>22</v>
      </c>
      <c r="L438" t="s">
        <v>23</v>
      </c>
      <c r="M438">
        <v>34</v>
      </c>
      <c r="N438" t="s">
        <v>24</v>
      </c>
      <c r="O438" t="s">
        <v>34</v>
      </c>
      <c r="P438" s="2">
        <v>2599.4499999999998</v>
      </c>
      <c r="Q438" t="s">
        <v>52</v>
      </c>
      <c r="R438" s="1">
        <v>44970</v>
      </c>
      <c r="S438" s="1"/>
    </row>
    <row r="439" spans="1:19" x14ac:dyDescent="0.3">
      <c r="A439">
        <v>12590</v>
      </c>
      <c r="B439" t="s">
        <v>35</v>
      </c>
      <c r="C439" t="s">
        <v>17</v>
      </c>
      <c r="D439">
        <v>30000</v>
      </c>
      <c r="E439" t="str">
        <f>IF(Sales_Data[[#This Row],[Income]]&lt;=20000,"Low Income",IF(Sales_Data[[#This Row],[Income]]&lt;=40000,"Lower Middle",IF(Sales_Data[[#This Row],[Income]]&lt;=60000,"Middle Income",IF(Sales_Data[[#This Row],[Income]]&lt;=80000,"Upper Middle","High Income"))))</f>
        <v>Lower Middle</v>
      </c>
      <c r="F439">
        <v>1</v>
      </c>
      <c r="G439" t="s">
        <v>19</v>
      </c>
      <c r="H439" t="s">
        <v>28</v>
      </c>
      <c r="I439" t="s">
        <v>21</v>
      </c>
      <c r="J439">
        <v>0</v>
      </c>
      <c r="K439" t="s">
        <v>22</v>
      </c>
      <c r="L439" t="s">
        <v>23</v>
      </c>
      <c r="M439">
        <v>63</v>
      </c>
      <c r="N439" t="s">
        <v>38</v>
      </c>
      <c r="O439" t="s">
        <v>54</v>
      </c>
      <c r="P439" s="2">
        <v>5184.21</v>
      </c>
      <c r="Q439" t="s">
        <v>57</v>
      </c>
      <c r="R439" s="1">
        <v>45214</v>
      </c>
      <c r="S439" s="1"/>
    </row>
    <row r="440" spans="1:19" x14ac:dyDescent="0.3">
      <c r="A440">
        <v>17841</v>
      </c>
      <c r="B440" t="s">
        <v>35</v>
      </c>
      <c r="C440" t="s">
        <v>17</v>
      </c>
      <c r="D440">
        <v>30000</v>
      </c>
      <c r="E440" t="str">
        <f>IF(Sales_Data[[#This Row],[Income]]&lt;=20000,"Low Income",IF(Sales_Data[[#This Row],[Income]]&lt;=40000,"Lower Middle",IF(Sales_Data[[#This Row],[Income]]&lt;=60000,"Middle Income",IF(Sales_Data[[#This Row],[Income]]&lt;=80000,"Upper Middle","High Income"))))</f>
        <v>Lower Middle</v>
      </c>
      <c r="F440">
        <v>0</v>
      </c>
      <c r="G440" t="s">
        <v>27</v>
      </c>
      <c r="H440" t="s">
        <v>28</v>
      </c>
      <c r="I440" t="s">
        <v>32</v>
      </c>
      <c r="J440">
        <v>1</v>
      </c>
      <c r="K440" t="s">
        <v>22</v>
      </c>
      <c r="L440" t="s">
        <v>23</v>
      </c>
      <c r="M440">
        <v>29</v>
      </c>
      <c r="N440" t="s">
        <v>24</v>
      </c>
      <c r="O440" t="s">
        <v>25</v>
      </c>
      <c r="P440" s="2">
        <v>1047.1400000000001</v>
      </c>
      <c r="Q440" t="s">
        <v>40</v>
      </c>
      <c r="R440" s="1">
        <v>45057</v>
      </c>
      <c r="S440" s="1"/>
    </row>
    <row r="441" spans="1:19" x14ac:dyDescent="0.3">
      <c r="A441">
        <v>27832</v>
      </c>
      <c r="B441" t="s">
        <v>35</v>
      </c>
      <c r="C441" t="s">
        <v>18</v>
      </c>
      <c r="D441">
        <v>30000</v>
      </c>
      <c r="E441" t="str">
        <f>IF(Sales_Data[[#This Row],[Income]]&lt;=20000,"Low Income",IF(Sales_Data[[#This Row],[Income]]&lt;=40000,"Lower Middle",IF(Sales_Data[[#This Row],[Income]]&lt;=60000,"Middle Income",IF(Sales_Data[[#This Row],[Income]]&lt;=80000,"Upper Middle","High Income"))))</f>
        <v>Lower Middle</v>
      </c>
      <c r="F441">
        <v>0</v>
      </c>
      <c r="G441" t="s">
        <v>27</v>
      </c>
      <c r="H441" t="s">
        <v>28</v>
      </c>
      <c r="I441" t="s">
        <v>32</v>
      </c>
      <c r="J441">
        <v>1</v>
      </c>
      <c r="K441" t="s">
        <v>33</v>
      </c>
      <c r="L441" t="s">
        <v>23</v>
      </c>
      <c r="M441">
        <v>30</v>
      </c>
      <c r="N441" t="s">
        <v>24</v>
      </c>
      <c r="O441" t="s">
        <v>49</v>
      </c>
      <c r="P441" s="2">
        <v>271.41000000000003</v>
      </c>
      <c r="Q441" t="s">
        <v>52</v>
      </c>
      <c r="R441" s="1">
        <v>44964</v>
      </c>
      <c r="S441" s="1"/>
    </row>
    <row r="442" spans="1:19" x14ac:dyDescent="0.3">
      <c r="A442">
        <v>27803</v>
      </c>
      <c r="B442" t="s">
        <v>35</v>
      </c>
      <c r="C442" t="s">
        <v>18</v>
      </c>
      <c r="D442">
        <v>30000</v>
      </c>
      <c r="E442" t="str">
        <f>IF(Sales_Data[[#This Row],[Income]]&lt;=20000,"Low Income",IF(Sales_Data[[#This Row],[Income]]&lt;=40000,"Lower Middle",IF(Sales_Data[[#This Row],[Income]]&lt;=60000,"Middle Income",IF(Sales_Data[[#This Row],[Income]]&lt;=80000,"Upper Middle","High Income"))))</f>
        <v>Lower Middle</v>
      </c>
      <c r="F442">
        <v>2</v>
      </c>
      <c r="G442" t="s">
        <v>27</v>
      </c>
      <c r="H442" t="s">
        <v>28</v>
      </c>
      <c r="I442" t="s">
        <v>32</v>
      </c>
      <c r="J442">
        <v>0</v>
      </c>
      <c r="K442" t="s">
        <v>22</v>
      </c>
      <c r="L442" t="s">
        <v>23</v>
      </c>
      <c r="M442">
        <v>43</v>
      </c>
      <c r="N442" t="s">
        <v>24</v>
      </c>
      <c r="O442" t="s">
        <v>55</v>
      </c>
      <c r="P442" s="2">
        <v>7387.69</v>
      </c>
      <c r="Q442" t="s">
        <v>26</v>
      </c>
      <c r="R442" s="1">
        <v>45289</v>
      </c>
      <c r="S442" s="1"/>
    </row>
    <row r="443" spans="1:19" x14ac:dyDescent="0.3">
      <c r="A443">
        <v>14347</v>
      </c>
      <c r="B443" t="s">
        <v>35</v>
      </c>
      <c r="C443" t="s">
        <v>18</v>
      </c>
      <c r="D443">
        <v>40000</v>
      </c>
      <c r="E443" t="str">
        <f>IF(Sales_Data[[#This Row],[Income]]&lt;=20000,"Low Income",IF(Sales_Data[[#This Row],[Income]]&lt;=40000,"Lower Middle",IF(Sales_Data[[#This Row],[Income]]&lt;=60000,"Middle Income",IF(Sales_Data[[#This Row],[Income]]&lt;=80000,"Upper Middle","High Income"))))</f>
        <v>Lower Middle</v>
      </c>
      <c r="F443">
        <v>2</v>
      </c>
      <c r="G443" t="s">
        <v>19</v>
      </c>
      <c r="H443" t="s">
        <v>46</v>
      </c>
      <c r="I443" t="s">
        <v>21</v>
      </c>
      <c r="J443">
        <v>2</v>
      </c>
      <c r="K443" t="s">
        <v>36</v>
      </c>
      <c r="L443" t="s">
        <v>37</v>
      </c>
      <c r="M443">
        <v>65</v>
      </c>
      <c r="N443" t="s">
        <v>24</v>
      </c>
      <c r="O443" t="s">
        <v>49</v>
      </c>
      <c r="P443" s="2">
        <v>7788.18</v>
      </c>
      <c r="Q443" t="s">
        <v>40</v>
      </c>
      <c r="R443" s="1">
        <v>45065</v>
      </c>
      <c r="S443" s="1"/>
    </row>
    <row r="444" spans="1:19" x14ac:dyDescent="0.3">
      <c r="A444">
        <v>29097</v>
      </c>
      <c r="B444" t="s">
        <v>35</v>
      </c>
      <c r="C444" t="s">
        <v>18</v>
      </c>
      <c r="D444">
        <v>40000</v>
      </c>
      <c r="E444" t="str">
        <f>IF(Sales_Data[[#This Row],[Income]]&lt;=20000,"Low Income",IF(Sales_Data[[#This Row],[Income]]&lt;=40000,"Lower Middle",IF(Sales_Data[[#This Row],[Income]]&lt;=60000,"Middle Income",IF(Sales_Data[[#This Row],[Income]]&lt;=80000,"Upper Middle","High Income"))))</f>
        <v>Lower Middle</v>
      </c>
      <c r="F444">
        <v>2</v>
      </c>
      <c r="G444" t="s">
        <v>27</v>
      </c>
      <c r="H444" t="s">
        <v>20</v>
      </c>
      <c r="I444" t="s">
        <v>21</v>
      </c>
      <c r="J444">
        <v>2</v>
      </c>
      <c r="K444" t="s">
        <v>36</v>
      </c>
      <c r="L444" t="s">
        <v>37</v>
      </c>
      <c r="M444">
        <v>52</v>
      </c>
      <c r="N444" t="s">
        <v>38</v>
      </c>
      <c r="O444" t="s">
        <v>41</v>
      </c>
      <c r="P444" s="2">
        <v>582.6</v>
      </c>
      <c r="Q444" t="s">
        <v>57</v>
      </c>
      <c r="R444" s="1">
        <v>45211</v>
      </c>
      <c r="S444" s="1"/>
    </row>
    <row r="445" spans="1:19" x14ac:dyDescent="0.3">
      <c r="A445">
        <v>19487</v>
      </c>
      <c r="B445" t="s">
        <v>17</v>
      </c>
      <c r="C445" t="s">
        <v>17</v>
      </c>
      <c r="D445">
        <v>30000</v>
      </c>
      <c r="E445" t="str">
        <f>IF(Sales_Data[[#This Row],[Income]]&lt;=20000,"Low Income",IF(Sales_Data[[#This Row],[Income]]&lt;=40000,"Lower Middle",IF(Sales_Data[[#This Row],[Income]]&lt;=60000,"Middle Income",IF(Sales_Data[[#This Row],[Income]]&lt;=80000,"Upper Middle","High Income"))))</f>
        <v>Lower Middle</v>
      </c>
      <c r="F445">
        <v>2</v>
      </c>
      <c r="G445" t="s">
        <v>27</v>
      </c>
      <c r="H445" t="s">
        <v>28</v>
      </c>
      <c r="I445" t="s">
        <v>32</v>
      </c>
      <c r="J445">
        <v>2</v>
      </c>
      <c r="K445" t="s">
        <v>22</v>
      </c>
      <c r="L445" t="s">
        <v>23</v>
      </c>
      <c r="M445">
        <v>42</v>
      </c>
      <c r="N445" t="s">
        <v>24</v>
      </c>
      <c r="O445" t="s">
        <v>55</v>
      </c>
      <c r="P445" s="2">
        <v>5179.47</v>
      </c>
      <c r="Q445" t="s">
        <v>58</v>
      </c>
      <c r="R445" s="1">
        <v>45112</v>
      </c>
      <c r="S445" s="1"/>
    </row>
    <row r="446" spans="1:19" x14ac:dyDescent="0.3">
      <c r="A446">
        <v>14939</v>
      </c>
      <c r="B446" t="s">
        <v>35</v>
      </c>
      <c r="C446" t="s">
        <v>17</v>
      </c>
      <c r="D446">
        <v>40000</v>
      </c>
      <c r="E446" t="str">
        <f>IF(Sales_Data[[#This Row],[Income]]&lt;=20000,"Low Income",IF(Sales_Data[[#This Row],[Income]]&lt;=40000,"Lower Middle",IF(Sales_Data[[#This Row],[Income]]&lt;=60000,"Middle Income",IF(Sales_Data[[#This Row],[Income]]&lt;=80000,"Upper Middle","High Income"))))</f>
        <v>Lower Middle</v>
      </c>
      <c r="F446">
        <v>0</v>
      </c>
      <c r="G446" t="s">
        <v>19</v>
      </c>
      <c r="H446" t="s">
        <v>28</v>
      </c>
      <c r="I446" t="s">
        <v>21</v>
      </c>
      <c r="J446">
        <v>0</v>
      </c>
      <c r="K446" t="s">
        <v>22</v>
      </c>
      <c r="L446" t="s">
        <v>23</v>
      </c>
      <c r="M446">
        <v>39</v>
      </c>
      <c r="N446" t="s">
        <v>38</v>
      </c>
      <c r="O446" t="s">
        <v>62</v>
      </c>
      <c r="P446" s="2">
        <v>2124.02</v>
      </c>
      <c r="Q446" t="s">
        <v>26</v>
      </c>
      <c r="R446" s="1">
        <v>45264</v>
      </c>
      <c r="S446" s="1"/>
    </row>
    <row r="447" spans="1:19" x14ac:dyDescent="0.3">
      <c r="A447">
        <v>13826</v>
      </c>
      <c r="B447" t="s">
        <v>35</v>
      </c>
      <c r="C447" t="s">
        <v>18</v>
      </c>
      <c r="D447">
        <v>30000</v>
      </c>
      <c r="E447" t="str">
        <f>IF(Sales_Data[[#This Row],[Income]]&lt;=20000,"Low Income",IF(Sales_Data[[#This Row],[Income]]&lt;=40000,"Lower Middle",IF(Sales_Data[[#This Row],[Income]]&lt;=60000,"Middle Income",IF(Sales_Data[[#This Row],[Income]]&lt;=80000,"Upper Middle","High Income"))))</f>
        <v>Lower Middle</v>
      </c>
      <c r="F447">
        <v>0</v>
      </c>
      <c r="G447" t="s">
        <v>27</v>
      </c>
      <c r="H447" t="s">
        <v>28</v>
      </c>
      <c r="I447" t="s">
        <v>32</v>
      </c>
      <c r="J447">
        <v>1</v>
      </c>
      <c r="K447" t="s">
        <v>22</v>
      </c>
      <c r="L447" t="s">
        <v>23</v>
      </c>
      <c r="M447">
        <v>28</v>
      </c>
      <c r="N447" t="s">
        <v>24</v>
      </c>
      <c r="O447" t="s">
        <v>55</v>
      </c>
      <c r="P447" s="2">
        <v>4623.8</v>
      </c>
      <c r="Q447" t="s">
        <v>40</v>
      </c>
      <c r="R447" s="1">
        <v>45053</v>
      </c>
      <c r="S447" s="1"/>
    </row>
    <row r="448" spans="1:19" x14ac:dyDescent="0.3">
      <c r="A448">
        <v>12808</v>
      </c>
      <c r="B448" t="s">
        <v>17</v>
      </c>
      <c r="C448" t="s">
        <v>17</v>
      </c>
      <c r="D448">
        <v>40000</v>
      </c>
      <c r="E448" t="str">
        <f>IF(Sales_Data[[#This Row],[Income]]&lt;=20000,"Low Income",IF(Sales_Data[[#This Row],[Income]]&lt;=40000,"Lower Middle",IF(Sales_Data[[#This Row],[Income]]&lt;=60000,"Middle Income",IF(Sales_Data[[#This Row],[Income]]&lt;=80000,"Upper Middle","High Income"))))</f>
        <v>Lower Middle</v>
      </c>
      <c r="F448">
        <v>0</v>
      </c>
      <c r="G448" t="s">
        <v>19</v>
      </c>
      <c r="H448" t="s">
        <v>28</v>
      </c>
      <c r="I448" t="s">
        <v>21</v>
      </c>
      <c r="J448">
        <v>0</v>
      </c>
      <c r="K448" t="s">
        <v>22</v>
      </c>
      <c r="L448" t="s">
        <v>23</v>
      </c>
      <c r="M448">
        <v>38</v>
      </c>
      <c r="N448" t="s">
        <v>24</v>
      </c>
      <c r="O448" t="s">
        <v>25</v>
      </c>
      <c r="P448" s="2">
        <v>5198.9399999999996</v>
      </c>
      <c r="Q448" t="s">
        <v>48</v>
      </c>
      <c r="R448" s="1">
        <v>45157</v>
      </c>
      <c r="S448" s="1"/>
    </row>
    <row r="449" spans="1:19" x14ac:dyDescent="0.3">
      <c r="A449">
        <v>25502</v>
      </c>
      <c r="B449" t="s">
        <v>17</v>
      </c>
      <c r="C449" t="s">
        <v>18</v>
      </c>
      <c r="D449">
        <v>40000</v>
      </c>
      <c r="E449" t="str">
        <f>IF(Sales_Data[[#This Row],[Income]]&lt;=20000,"Low Income",IF(Sales_Data[[#This Row],[Income]]&lt;=40000,"Lower Middle",IF(Sales_Data[[#This Row],[Income]]&lt;=60000,"Middle Income",IF(Sales_Data[[#This Row],[Income]]&lt;=80000,"Upper Middle","High Income"))))</f>
        <v>Lower Middle</v>
      </c>
      <c r="F449">
        <v>1</v>
      </c>
      <c r="G449" t="s">
        <v>19</v>
      </c>
      <c r="H449" t="s">
        <v>20</v>
      </c>
      <c r="I449" t="s">
        <v>21</v>
      </c>
      <c r="J449">
        <v>0</v>
      </c>
      <c r="K449" t="s">
        <v>22</v>
      </c>
      <c r="L449" t="s">
        <v>23</v>
      </c>
      <c r="M449">
        <v>43</v>
      </c>
      <c r="N449" t="s">
        <v>24</v>
      </c>
      <c r="O449" t="s">
        <v>29</v>
      </c>
      <c r="P449" s="2">
        <v>2214.2199999999998</v>
      </c>
      <c r="Q449" t="s">
        <v>59</v>
      </c>
      <c r="R449" s="1">
        <v>45018</v>
      </c>
      <c r="S449" s="1"/>
    </row>
    <row r="450" spans="1:19" x14ac:dyDescent="0.3">
      <c r="A450">
        <v>16713</v>
      </c>
      <c r="B450" t="s">
        <v>17</v>
      </c>
      <c r="C450" t="s">
        <v>17</v>
      </c>
      <c r="D450">
        <v>40000</v>
      </c>
      <c r="E450" t="str">
        <f>IF(Sales_Data[[#This Row],[Income]]&lt;=20000,"Low Income",IF(Sales_Data[[#This Row],[Income]]&lt;=40000,"Lower Middle",IF(Sales_Data[[#This Row],[Income]]&lt;=60000,"Middle Income",IF(Sales_Data[[#This Row],[Income]]&lt;=80000,"Upper Middle","High Income"))))</f>
        <v>Lower Middle</v>
      </c>
      <c r="F450">
        <v>2</v>
      </c>
      <c r="G450" t="s">
        <v>19</v>
      </c>
      <c r="H450" t="s">
        <v>46</v>
      </c>
      <c r="I450" t="s">
        <v>21</v>
      </c>
      <c r="J450">
        <v>1</v>
      </c>
      <c r="K450" t="s">
        <v>22</v>
      </c>
      <c r="L450" t="s">
        <v>37</v>
      </c>
      <c r="M450">
        <v>52</v>
      </c>
      <c r="N450" t="s">
        <v>24</v>
      </c>
      <c r="O450" t="s">
        <v>55</v>
      </c>
      <c r="P450" s="2">
        <v>4999.1000000000004</v>
      </c>
      <c r="Q450" t="s">
        <v>52</v>
      </c>
      <c r="R450" s="1">
        <v>44970</v>
      </c>
      <c r="S450" s="1"/>
    </row>
    <row r="451" spans="1:19" x14ac:dyDescent="0.3">
      <c r="A451">
        <v>14927</v>
      </c>
      <c r="B451" t="s">
        <v>17</v>
      </c>
      <c r="C451" t="s">
        <v>18</v>
      </c>
      <c r="D451">
        <v>30000</v>
      </c>
      <c r="E451" t="str">
        <f>IF(Sales_Data[[#This Row],[Income]]&lt;=20000,"Low Income",IF(Sales_Data[[#This Row],[Income]]&lt;=40000,"Lower Middle",IF(Sales_Data[[#This Row],[Income]]&lt;=60000,"Middle Income",IF(Sales_Data[[#This Row],[Income]]&lt;=80000,"Upper Middle","High Income"))))</f>
        <v>Lower Middle</v>
      </c>
      <c r="F451">
        <v>1</v>
      </c>
      <c r="G451" t="s">
        <v>19</v>
      </c>
      <c r="H451" t="s">
        <v>28</v>
      </c>
      <c r="I451" t="s">
        <v>21</v>
      </c>
      <c r="J451">
        <v>0</v>
      </c>
      <c r="K451" t="s">
        <v>22</v>
      </c>
      <c r="L451" t="s">
        <v>23</v>
      </c>
      <c r="M451">
        <v>37</v>
      </c>
      <c r="N451" t="s">
        <v>38</v>
      </c>
      <c r="O451" t="s">
        <v>41</v>
      </c>
      <c r="P451" s="2">
        <v>8820.4599999999991</v>
      </c>
      <c r="Q451" t="s">
        <v>30</v>
      </c>
      <c r="R451" s="1">
        <v>45009</v>
      </c>
      <c r="S451" s="1"/>
    </row>
    <row r="452" spans="1:19" x14ac:dyDescent="0.3">
      <c r="A452">
        <v>29337</v>
      </c>
      <c r="B452" t="s">
        <v>35</v>
      </c>
      <c r="C452" t="s">
        <v>17</v>
      </c>
      <c r="D452">
        <v>30000</v>
      </c>
      <c r="E452" t="str">
        <f>IF(Sales_Data[[#This Row],[Income]]&lt;=20000,"Low Income",IF(Sales_Data[[#This Row],[Income]]&lt;=40000,"Lower Middle",IF(Sales_Data[[#This Row],[Income]]&lt;=60000,"Middle Income",IF(Sales_Data[[#This Row],[Income]]&lt;=80000,"Upper Middle","High Income"))))</f>
        <v>Lower Middle</v>
      </c>
      <c r="F452">
        <v>2</v>
      </c>
      <c r="G452" t="s">
        <v>27</v>
      </c>
      <c r="H452" t="s">
        <v>28</v>
      </c>
      <c r="I452" t="s">
        <v>21</v>
      </c>
      <c r="J452">
        <v>2</v>
      </c>
      <c r="K452" t="s">
        <v>36</v>
      </c>
      <c r="L452" t="s">
        <v>37</v>
      </c>
      <c r="M452">
        <v>68</v>
      </c>
      <c r="N452" t="s">
        <v>38</v>
      </c>
      <c r="O452" t="s">
        <v>47</v>
      </c>
      <c r="P452" s="2">
        <v>2955.31</v>
      </c>
      <c r="Q452" t="s">
        <v>57</v>
      </c>
      <c r="R452" s="1">
        <v>45227</v>
      </c>
      <c r="S452" s="1"/>
    </row>
    <row r="453" spans="1:19" x14ac:dyDescent="0.3">
      <c r="A453">
        <v>29355</v>
      </c>
      <c r="B453" t="s">
        <v>17</v>
      </c>
      <c r="C453" t="s">
        <v>18</v>
      </c>
      <c r="D453">
        <v>40000</v>
      </c>
      <c r="E453" t="str">
        <f>IF(Sales_Data[[#This Row],[Income]]&lt;=20000,"Low Income",IF(Sales_Data[[#This Row],[Income]]&lt;=40000,"Lower Middle",IF(Sales_Data[[#This Row],[Income]]&lt;=60000,"Middle Income",IF(Sales_Data[[#This Row],[Income]]&lt;=80000,"Upper Middle","High Income"))))</f>
        <v>Lower Middle</v>
      </c>
      <c r="F453">
        <v>0</v>
      </c>
      <c r="G453" t="s">
        <v>61</v>
      </c>
      <c r="H453" t="s">
        <v>28</v>
      </c>
      <c r="I453" t="s">
        <v>21</v>
      </c>
      <c r="J453">
        <v>0</v>
      </c>
      <c r="K453" t="s">
        <v>22</v>
      </c>
      <c r="L453" t="s">
        <v>23</v>
      </c>
      <c r="M453">
        <v>37</v>
      </c>
      <c r="N453" t="s">
        <v>38</v>
      </c>
      <c r="O453" t="s">
        <v>47</v>
      </c>
      <c r="P453" s="2">
        <v>7346.37</v>
      </c>
      <c r="Q453" t="s">
        <v>57</v>
      </c>
      <c r="R453" s="1">
        <v>45213</v>
      </c>
      <c r="S453" s="1"/>
    </row>
    <row r="454" spans="1:19" x14ac:dyDescent="0.3">
      <c r="A454">
        <v>25303</v>
      </c>
      <c r="B454" t="s">
        <v>35</v>
      </c>
      <c r="C454" t="s">
        <v>17</v>
      </c>
      <c r="D454">
        <v>30000</v>
      </c>
      <c r="E454" t="str">
        <f>IF(Sales_Data[[#This Row],[Income]]&lt;=20000,"Low Income",IF(Sales_Data[[#This Row],[Income]]&lt;=40000,"Lower Middle",IF(Sales_Data[[#This Row],[Income]]&lt;=60000,"Middle Income",IF(Sales_Data[[#This Row],[Income]]&lt;=80000,"Upper Middle","High Income"))))</f>
        <v>Lower Middle</v>
      </c>
      <c r="F454">
        <v>0</v>
      </c>
      <c r="G454" t="s">
        <v>45</v>
      </c>
      <c r="H454" t="s">
        <v>42</v>
      </c>
      <c r="I454" t="s">
        <v>21</v>
      </c>
      <c r="J454">
        <v>1</v>
      </c>
      <c r="K454" t="s">
        <v>33</v>
      </c>
      <c r="L454" t="s">
        <v>23</v>
      </c>
      <c r="M454">
        <v>33</v>
      </c>
      <c r="N454" t="s">
        <v>24</v>
      </c>
      <c r="O454" t="s">
        <v>25</v>
      </c>
      <c r="P454" s="2">
        <v>1945.35</v>
      </c>
      <c r="Q454" t="s">
        <v>52</v>
      </c>
      <c r="R454" s="1">
        <v>44970</v>
      </c>
      <c r="S454" s="1"/>
    </row>
    <row r="455" spans="1:19" x14ac:dyDescent="0.3">
      <c r="A455">
        <v>27745</v>
      </c>
      <c r="B455" t="s">
        <v>35</v>
      </c>
      <c r="C455" t="s">
        <v>17</v>
      </c>
      <c r="D455">
        <v>40000</v>
      </c>
      <c r="E455" t="str">
        <f>IF(Sales_Data[[#This Row],[Income]]&lt;=20000,"Low Income",IF(Sales_Data[[#This Row],[Income]]&lt;=40000,"Lower Middle",IF(Sales_Data[[#This Row],[Income]]&lt;=60000,"Middle Income",IF(Sales_Data[[#This Row],[Income]]&lt;=80000,"Upper Middle","High Income"))))</f>
        <v>Lower Middle</v>
      </c>
      <c r="F455">
        <v>2</v>
      </c>
      <c r="G455" t="s">
        <v>19</v>
      </c>
      <c r="H455" t="s">
        <v>46</v>
      </c>
      <c r="I455" t="s">
        <v>21</v>
      </c>
      <c r="J455">
        <v>2</v>
      </c>
      <c r="K455" t="s">
        <v>36</v>
      </c>
      <c r="L455" t="s">
        <v>37</v>
      </c>
      <c r="M455">
        <v>63</v>
      </c>
      <c r="N455" t="s">
        <v>24</v>
      </c>
      <c r="O455" t="s">
        <v>49</v>
      </c>
      <c r="P455" s="2">
        <v>1232.31</v>
      </c>
      <c r="Q455" t="s">
        <v>51</v>
      </c>
      <c r="R455" s="1">
        <v>45102</v>
      </c>
      <c r="S455" s="1"/>
    </row>
    <row r="456" spans="1:19" x14ac:dyDescent="0.3">
      <c r="A456">
        <v>20828</v>
      </c>
      <c r="B456" t="s">
        <v>17</v>
      </c>
      <c r="C456" t="s">
        <v>18</v>
      </c>
      <c r="D456">
        <v>30000</v>
      </c>
      <c r="E456" t="str">
        <f>IF(Sales_Data[[#This Row],[Income]]&lt;=20000,"Low Income",IF(Sales_Data[[#This Row],[Income]]&lt;=40000,"Lower Middle",IF(Sales_Data[[#This Row],[Income]]&lt;=60000,"Middle Income",IF(Sales_Data[[#This Row],[Income]]&lt;=80000,"Upper Middle","High Income"))))</f>
        <v>Lower Middle</v>
      </c>
      <c r="F456">
        <v>4</v>
      </c>
      <c r="G456" t="s">
        <v>61</v>
      </c>
      <c r="H456" t="s">
        <v>28</v>
      </c>
      <c r="I456" t="s">
        <v>21</v>
      </c>
      <c r="J456">
        <v>0</v>
      </c>
      <c r="K456" t="s">
        <v>22</v>
      </c>
      <c r="L456" t="s">
        <v>23</v>
      </c>
      <c r="M456">
        <v>45</v>
      </c>
      <c r="N456" t="s">
        <v>38</v>
      </c>
      <c r="O456" t="s">
        <v>41</v>
      </c>
      <c r="P456" s="2">
        <v>4506.6499999999996</v>
      </c>
      <c r="Q456" t="s">
        <v>30</v>
      </c>
      <c r="R456" s="1">
        <v>44994</v>
      </c>
      <c r="S456" s="1"/>
    </row>
    <row r="457" spans="1:19" x14ac:dyDescent="0.3">
      <c r="A457">
        <v>26941</v>
      </c>
      <c r="B457" t="s">
        <v>17</v>
      </c>
      <c r="C457" t="s">
        <v>17</v>
      </c>
      <c r="D457">
        <v>30000</v>
      </c>
      <c r="E457" t="str">
        <f>IF(Sales_Data[[#This Row],[Income]]&lt;=20000,"Low Income",IF(Sales_Data[[#This Row],[Income]]&lt;=40000,"Lower Middle",IF(Sales_Data[[#This Row],[Income]]&lt;=60000,"Middle Income",IF(Sales_Data[[#This Row],[Income]]&lt;=80000,"Upper Middle","High Income"))))</f>
        <v>Lower Middle</v>
      </c>
      <c r="F457">
        <v>0</v>
      </c>
      <c r="G457" t="s">
        <v>19</v>
      </c>
      <c r="H457" t="s">
        <v>28</v>
      </c>
      <c r="I457" t="s">
        <v>21</v>
      </c>
      <c r="J457">
        <v>0</v>
      </c>
      <c r="K457" t="s">
        <v>22</v>
      </c>
      <c r="L457" t="s">
        <v>23</v>
      </c>
      <c r="M457">
        <v>47</v>
      </c>
      <c r="N457" t="s">
        <v>38</v>
      </c>
      <c r="O457" t="s">
        <v>39</v>
      </c>
      <c r="P457" s="2">
        <v>3248.6</v>
      </c>
      <c r="Q457" t="s">
        <v>58</v>
      </c>
      <c r="R457" s="1">
        <v>45113</v>
      </c>
      <c r="S457" s="1"/>
    </row>
    <row r="458" spans="1:19" x14ac:dyDescent="0.3">
      <c r="A458">
        <v>24485</v>
      </c>
      <c r="B458" t="s">
        <v>35</v>
      </c>
      <c r="C458" t="s">
        <v>17</v>
      </c>
      <c r="D458">
        <v>40000</v>
      </c>
      <c r="E458" t="str">
        <f>IF(Sales_Data[[#This Row],[Income]]&lt;=20000,"Low Income",IF(Sales_Data[[#This Row],[Income]]&lt;=40000,"Lower Middle",IF(Sales_Data[[#This Row],[Income]]&lt;=60000,"Middle Income",IF(Sales_Data[[#This Row],[Income]]&lt;=80000,"Upper Middle","High Income"))))</f>
        <v>Lower Middle</v>
      </c>
      <c r="F458">
        <v>2</v>
      </c>
      <c r="G458" t="s">
        <v>19</v>
      </c>
      <c r="H458" t="s">
        <v>46</v>
      </c>
      <c r="I458" t="s">
        <v>32</v>
      </c>
      <c r="J458">
        <v>1</v>
      </c>
      <c r="K458" t="s">
        <v>36</v>
      </c>
      <c r="L458" t="s">
        <v>37</v>
      </c>
      <c r="M458">
        <v>52</v>
      </c>
      <c r="N458" t="s">
        <v>38</v>
      </c>
      <c r="O458" t="s">
        <v>39</v>
      </c>
      <c r="P458" s="2">
        <v>4117.92</v>
      </c>
      <c r="Q458" t="s">
        <v>56</v>
      </c>
      <c r="R458" s="1">
        <v>45178</v>
      </c>
      <c r="S458" s="1"/>
    </row>
    <row r="459" spans="1:19" x14ac:dyDescent="0.3">
      <c r="A459">
        <v>24119</v>
      </c>
      <c r="B459" t="s">
        <v>35</v>
      </c>
      <c r="C459" t="s">
        <v>17</v>
      </c>
      <c r="D459">
        <v>30000</v>
      </c>
      <c r="E459" t="str">
        <f>IF(Sales_Data[[#This Row],[Income]]&lt;=20000,"Low Income",IF(Sales_Data[[#This Row],[Income]]&lt;=40000,"Lower Middle",IF(Sales_Data[[#This Row],[Income]]&lt;=60000,"Middle Income",IF(Sales_Data[[#This Row],[Income]]&lt;=80000,"Upper Middle","High Income"))))</f>
        <v>Lower Middle</v>
      </c>
      <c r="F459">
        <v>0</v>
      </c>
      <c r="G459" t="s">
        <v>27</v>
      </c>
      <c r="H459" t="s">
        <v>28</v>
      </c>
      <c r="I459" t="s">
        <v>32</v>
      </c>
      <c r="J459">
        <v>1</v>
      </c>
      <c r="K459" t="s">
        <v>33</v>
      </c>
      <c r="L459" t="s">
        <v>23</v>
      </c>
      <c r="M459">
        <v>29</v>
      </c>
      <c r="N459" t="s">
        <v>38</v>
      </c>
      <c r="O459" t="s">
        <v>41</v>
      </c>
      <c r="P459" s="2">
        <v>7862.98</v>
      </c>
      <c r="Q459" t="s">
        <v>59</v>
      </c>
      <c r="R459" s="1">
        <v>45037</v>
      </c>
      <c r="S459" s="1"/>
    </row>
    <row r="460" spans="1:19" x14ac:dyDescent="0.3">
      <c r="A460">
        <v>26886</v>
      </c>
      <c r="B460" t="s">
        <v>35</v>
      </c>
      <c r="C460" t="s">
        <v>18</v>
      </c>
      <c r="D460">
        <v>30000</v>
      </c>
      <c r="E460" t="str">
        <f>IF(Sales_Data[[#This Row],[Income]]&lt;=20000,"Low Income",IF(Sales_Data[[#This Row],[Income]]&lt;=40000,"Lower Middle",IF(Sales_Data[[#This Row],[Income]]&lt;=60000,"Middle Income",IF(Sales_Data[[#This Row],[Income]]&lt;=80000,"Upper Middle","High Income"))))</f>
        <v>Lower Middle</v>
      </c>
      <c r="F460">
        <v>0</v>
      </c>
      <c r="G460" t="s">
        <v>27</v>
      </c>
      <c r="H460" t="s">
        <v>28</v>
      </c>
      <c r="I460" t="s">
        <v>32</v>
      </c>
      <c r="J460">
        <v>1</v>
      </c>
      <c r="K460" t="s">
        <v>22</v>
      </c>
      <c r="L460" t="s">
        <v>23</v>
      </c>
      <c r="M460">
        <v>29</v>
      </c>
      <c r="N460" t="s">
        <v>24</v>
      </c>
      <c r="O460" t="s">
        <v>34</v>
      </c>
      <c r="P460" s="2">
        <v>2447.0500000000002</v>
      </c>
      <c r="Q460" t="s">
        <v>40</v>
      </c>
      <c r="R460" s="1">
        <v>45070</v>
      </c>
      <c r="S460" s="1"/>
    </row>
    <row r="461" spans="1:19" x14ac:dyDescent="0.3">
      <c r="A461">
        <v>28436</v>
      </c>
      <c r="B461" t="s">
        <v>35</v>
      </c>
      <c r="C461" t="s">
        <v>17</v>
      </c>
      <c r="D461">
        <v>30000</v>
      </c>
      <c r="E461" t="str">
        <f>IF(Sales_Data[[#This Row],[Income]]&lt;=20000,"Low Income",IF(Sales_Data[[#This Row],[Income]]&lt;=40000,"Lower Middle",IF(Sales_Data[[#This Row],[Income]]&lt;=60000,"Middle Income",IF(Sales_Data[[#This Row],[Income]]&lt;=80000,"Upper Middle","High Income"))))</f>
        <v>Lower Middle</v>
      </c>
      <c r="F461">
        <v>0</v>
      </c>
      <c r="G461" t="s">
        <v>27</v>
      </c>
      <c r="H461" t="s">
        <v>28</v>
      </c>
      <c r="I461" t="s">
        <v>32</v>
      </c>
      <c r="J461">
        <v>1</v>
      </c>
      <c r="K461" t="s">
        <v>22</v>
      </c>
      <c r="L461" t="s">
        <v>23</v>
      </c>
      <c r="M461">
        <v>30</v>
      </c>
      <c r="N461" t="s">
        <v>24</v>
      </c>
      <c r="O461" t="s">
        <v>49</v>
      </c>
      <c r="P461" s="2">
        <v>5437.99</v>
      </c>
      <c r="Q461" t="s">
        <v>52</v>
      </c>
      <c r="R461" s="1">
        <v>44985</v>
      </c>
      <c r="S461" s="1"/>
    </row>
    <row r="462" spans="1:19" x14ac:dyDescent="0.3">
      <c r="A462">
        <v>15608</v>
      </c>
      <c r="B462" t="s">
        <v>35</v>
      </c>
      <c r="C462" t="s">
        <v>18</v>
      </c>
      <c r="D462">
        <v>30000</v>
      </c>
      <c r="E462" t="str">
        <f>IF(Sales_Data[[#This Row],[Income]]&lt;=20000,"Low Income",IF(Sales_Data[[#This Row],[Income]]&lt;=40000,"Lower Middle",IF(Sales_Data[[#This Row],[Income]]&lt;=60000,"Middle Income",IF(Sales_Data[[#This Row],[Income]]&lt;=80000,"Upper Middle","High Income"))))</f>
        <v>Lower Middle</v>
      </c>
      <c r="F462">
        <v>0</v>
      </c>
      <c r="G462" t="s">
        <v>27</v>
      </c>
      <c r="H462" t="s">
        <v>28</v>
      </c>
      <c r="I462" t="s">
        <v>32</v>
      </c>
      <c r="J462">
        <v>1</v>
      </c>
      <c r="K462" t="s">
        <v>33</v>
      </c>
      <c r="L462" t="s">
        <v>23</v>
      </c>
      <c r="M462">
        <v>33</v>
      </c>
      <c r="N462" t="s">
        <v>24</v>
      </c>
      <c r="O462" t="s">
        <v>34</v>
      </c>
      <c r="P462" s="2">
        <v>5114.09</v>
      </c>
      <c r="Q462" t="s">
        <v>44</v>
      </c>
      <c r="R462" s="1">
        <v>44952</v>
      </c>
      <c r="S462" s="1"/>
    </row>
    <row r="463" spans="1:19" x14ac:dyDescent="0.3">
      <c r="A463">
        <v>16487</v>
      </c>
      <c r="B463" t="s">
        <v>35</v>
      </c>
      <c r="C463" t="s">
        <v>18</v>
      </c>
      <c r="D463">
        <v>30000</v>
      </c>
      <c r="E463" t="str">
        <f>IF(Sales_Data[[#This Row],[Income]]&lt;=20000,"Low Income",IF(Sales_Data[[#This Row],[Income]]&lt;=40000,"Lower Middle",IF(Sales_Data[[#This Row],[Income]]&lt;=60000,"Middle Income",IF(Sales_Data[[#This Row],[Income]]&lt;=80000,"Upper Middle","High Income"))))</f>
        <v>Lower Middle</v>
      </c>
      <c r="F463">
        <v>3</v>
      </c>
      <c r="G463" t="s">
        <v>45</v>
      </c>
      <c r="H463" t="s">
        <v>20</v>
      </c>
      <c r="I463" t="s">
        <v>21</v>
      </c>
      <c r="J463">
        <v>2</v>
      </c>
      <c r="K463" t="s">
        <v>36</v>
      </c>
      <c r="L463" t="s">
        <v>37</v>
      </c>
      <c r="M463">
        <v>55</v>
      </c>
      <c r="N463" t="s">
        <v>38</v>
      </c>
      <c r="O463" t="s">
        <v>41</v>
      </c>
      <c r="P463" s="2">
        <v>3090.79</v>
      </c>
      <c r="Q463" t="s">
        <v>60</v>
      </c>
      <c r="R463" s="1">
        <v>45236</v>
      </c>
      <c r="S463" s="1"/>
    </row>
    <row r="464" spans="1:19" x14ac:dyDescent="0.3">
      <c r="A464">
        <v>12507</v>
      </c>
      <c r="B464" t="s">
        <v>17</v>
      </c>
      <c r="C464" t="s">
        <v>17</v>
      </c>
      <c r="D464">
        <v>30000</v>
      </c>
      <c r="E464" t="str">
        <f>IF(Sales_Data[[#This Row],[Income]]&lt;=20000,"Low Income",IF(Sales_Data[[#This Row],[Income]]&lt;=40000,"Lower Middle",IF(Sales_Data[[#This Row],[Income]]&lt;=60000,"Middle Income",IF(Sales_Data[[#This Row],[Income]]&lt;=80000,"Upper Middle","High Income"))))</f>
        <v>Lower Middle</v>
      </c>
      <c r="F464">
        <v>1</v>
      </c>
      <c r="G464" t="s">
        <v>27</v>
      </c>
      <c r="H464" t="s">
        <v>28</v>
      </c>
      <c r="I464" t="s">
        <v>21</v>
      </c>
      <c r="J464">
        <v>1</v>
      </c>
      <c r="K464" t="s">
        <v>22</v>
      </c>
      <c r="L464" t="s">
        <v>23</v>
      </c>
      <c r="M464">
        <v>43</v>
      </c>
      <c r="N464" t="s">
        <v>38</v>
      </c>
      <c r="O464" t="s">
        <v>39</v>
      </c>
      <c r="P464" s="2">
        <v>3598.79</v>
      </c>
      <c r="Q464" t="s">
        <v>52</v>
      </c>
      <c r="R464" s="1">
        <v>44961</v>
      </c>
      <c r="S464" s="1"/>
    </row>
    <row r="465" spans="1:19" x14ac:dyDescent="0.3">
      <c r="A465">
        <v>23940</v>
      </c>
      <c r="B465" t="s">
        <v>17</v>
      </c>
      <c r="C465" t="s">
        <v>17</v>
      </c>
      <c r="D465">
        <v>40000</v>
      </c>
      <c r="E465" t="str">
        <f>IF(Sales_Data[[#This Row],[Income]]&lt;=20000,"Low Income",IF(Sales_Data[[#This Row],[Income]]&lt;=40000,"Lower Middle",IF(Sales_Data[[#This Row],[Income]]&lt;=60000,"Middle Income",IF(Sales_Data[[#This Row],[Income]]&lt;=80000,"Upper Middle","High Income"))))</f>
        <v>Lower Middle</v>
      </c>
      <c r="F465">
        <v>1</v>
      </c>
      <c r="G465" t="s">
        <v>19</v>
      </c>
      <c r="H465" t="s">
        <v>20</v>
      </c>
      <c r="I465" t="s">
        <v>21</v>
      </c>
      <c r="J465">
        <v>1</v>
      </c>
      <c r="K465" t="s">
        <v>22</v>
      </c>
      <c r="L465" t="s">
        <v>23</v>
      </c>
      <c r="M465">
        <v>44</v>
      </c>
      <c r="N465" t="s">
        <v>38</v>
      </c>
      <c r="O465" t="s">
        <v>47</v>
      </c>
      <c r="P465" s="2">
        <v>9044.7800000000007</v>
      </c>
      <c r="Q465" t="s">
        <v>59</v>
      </c>
      <c r="R465" s="1">
        <v>45028</v>
      </c>
      <c r="S465" s="1"/>
    </row>
    <row r="466" spans="1:19" x14ac:dyDescent="0.3">
      <c r="A466">
        <v>19441</v>
      </c>
      <c r="B466" t="s">
        <v>17</v>
      </c>
      <c r="C466" t="s">
        <v>17</v>
      </c>
      <c r="D466">
        <v>40000</v>
      </c>
      <c r="E466" t="str">
        <f>IF(Sales_Data[[#This Row],[Income]]&lt;=20000,"Low Income",IF(Sales_Data[[#This Row],[Income]]&lt;=40000,"Lower Middle",IF(Sales_Data[[#This Row],[Income]]&lt;=60000,"Middle Income",IF(Sales_Data[[#This Row],[Income]]&lt;=80000,"Upper Middle","High Income"))))</f>
        <v>Lower Middle</v>
      </c>
      <c r="F466">
        <v>0</v>
      </c>
      <c r="G466" t="s">
        <v>61</v>
      </c>
      <c r="H466" t="s">
        <v>28</v>
      </c>
      <c r="I466" t="s">
        <v>21</v>
      </c>
      <c r="J466">
        <v>0</v>
      </c>
      <c r="K466" t="s">
        <v>22</v>
      </c>
      <c r="L466" t="s">
        <v>23</v>
      </c>
      <c r="M466">
        <v>25</v>
      </c>
      <c r="N466" t="s">
        <v>38</v>
      </c>
      <c r="O466" t="s">
        <v>39</v>
      </c>
      <c r="P466" s="2">
        <v>7261.86</v>
      </c>
      <c r="Q466" t="s">
        <v>48</v>
      </c>
      <c r="R466" s="1">
        <v>45169</v>
      </c>
      <c r="S466" s="1"/>
    </row>
    <row r="467" spans="1:19" x14ac:dyDescent="0.3">
      <c r="A467">
        <v>22707</v>
      </c>
      <c r="B467" t="s">
        <v>35</v>
      </c>
      <c r="C467" t="s">
        <v>18</v>
      </c>
      <c r="D467">
        <v>30000</v>
      </c>
      <c r="E467" t="str">
        <f>IF(Sales_Data[[#This Row],[Income]]&lt;=20000,"Low Income",IF(Sales_Data[[#This Row],[Income]]&lt;=40000,"Lower Middle",IF(Sales_Data[[#This Row],[Income]]&lt;=60000,"Middle Income",IF(Sales_Data[[#This Row],[Income]]&lt;=80000,"Upper Middle","High Income"))))</f>
        <v>Lower Middle</v>
      </c>
      <c r="F467">
        <v>0</v>
      </c>
      <c r="G467" t="s">
        <v>27</v>
      </c>
      <c r="H467" t="s">
        <v>28</v>
      </c>
      <c r="I467" t="s">
        <v>32</v>
      </c>
      <c r="J467">
        <v>1</v>
      </c>
      <c r="K467" t="s">
        <v>33</v>
      </c>
      <c r="L467" t="s">
        <v>23</v>
      </c>
      <c r="M467">
        <v>30</v>
      </c>
      <c r="N467" t="s">
        <v>38</v>
      </c>
      <c r="O467" t="s">
        <v>62</v>
      </c>
      <c r="P467" s="2">
        <v>2105.4299999999998</v>
      </c>
      <c r="Q467" t="s">
        <v>60</v>
      </c>
      <c r="R467" s="1">
        <v>45239</v>
      </c>
      <c r="S467" s="1"/>
    </row>
    <row r="468" spans="1:19" x14ac:dyDescent="0.3">
      <c r="A468">
        <v>27494</v>
      </c>
      <c r="B468" t="s">
        <v>35</v>
      </c>
      <c r="C468" t="s">
        <v>18</v>
      </c>
      <c r="D468">
        <v>40000</v>
      </c>
      <c r="E468" t="str">
        <f>IF(Sales_Data[[#This Row],[Income]]&lt;=20000,"Low Income",IF(Sales_Data[[#This Row],[Income]]&lt;=40000,"Lower Middle",IF(Sales_Data[[#This Row],[Income]]&lt;=60000,"Middle Income",IF(Sales_Data[[#This Row],[Income]]&lt;=80000,"Upper Middle","High Income"))))</f>
        <v>Lower Middle</v>
      </c>
      <c r="F468">
        <v>2</v>
      </c>
      <c r="G468" t="s">
        <v>27</v>
      </c>
      <c r="H468" t="s">
        <v>20</v>
      </c>
      <c r="I468" t="s">
        <v>32</v>
      </c>
      <c r="J468">
        <v>2</v>
      </c>
      <c r="K468" t="s">
        <v>43</v>
      </c>
      <c r="L468" t="s">
        <v>37</v>
      </c>
      <c r="M468">
        <v>53</v>
      </c>
      <c r="N468" t="s">
        <v>38</v>
      </c>
      <c r="O468" t="s">
        <v>47</v>
      </c>
      <c r="P468" s="2">
        <v>7806.7</v>
      </c>
      <c r="Q468" t="s">
        <v>60</v>
      </c>
      <c r="R468" s="1">
        <v>45243</v>
      </c>
      <c r="S468" s="1"/>
    </row>
    <row r="469" spans="1:19" x14ac:dyDescent="0.3">
      <c r="A469">
        <v>26829</v>
      </c>
      <c r="B469" t="s">
        <v>17</v>
      </c>
      <c r="C469" t="s">
        <v>18</v>
      </c>
      <c r="D469">
        <v>40000</v>
      </c>
      <c r="E469" t="str">
        <f>IF(Sales_Data[[#This Row],[Income]]&lt;=20000,"Low Income",IF(Sales_Data[[#This Row],[Income]]&lt;=40000,"Lower Middle",IF(Sales_Data[[#This Row],[Income]]&lt;=60000,"Middle Income",IF(Sales_Data[[#This Row],[Income]]&lt;=80000,"Upper Middle","High Income"))))</f>
        <v>Lower Middle</v>
      </c>
      <c r="F469">
        <v>0</v>
      </c>
      <c r="G469" t="s">
        <v>19</v>
      </c>
      <c r="H469" t="s">
        <v>28</v>
      </c>
      <c r="I469" t="s">
        <v>21</v>
      </c>
      <c r="J469">
        <v>0</v>
      </c>
      <c r="K469" t="s">
        <v>22</v>
      </c>
      <c r="L469" t="s">
        <v>23</v>
      </c>
      <c r="M469">
        <v>38</v>
      </c>
      <c r="N469" t="s">
        <v>24</v>
      </c>
      <c r="O469" t="s">
        <v>34</v>
      </c>
      <c r="P469" s="2">
        <v>3225.87</v>
      </c>
      <c r="Q469" t="s">
        <v>30</v>
      </c>
      <c r="R469" s="1">
        <v>45005</v>
      </c>
      <c r="S469" s="1"/>
    </row>
    <row r="470" spans="1:19" x14ac:dyDescent="0.3">
      <c r="A470">
        <v>28395</v>
      </c>
      <c r="B470" t="s">
        <v>35</v>
      </c>
      <c r="C470" t="s">
        <v>17</v>
      </c>
      <c r="D470">
        <v>40000</v>
      </c>
      <c r="E470" t="str">
        <f>IF(Sales_Data[[#This Row],[Income]]&lt;=20000,"Low Income",IF(Sales_Data[[#This Row],[Income]]&lt;=40000,"Lower Middle",IF(Sales_Data[[#This Row],[Income]]&lt;=60000,"Middle Income",IF(Sales_Data[[#This Row],[Income]]&lt;=80000,"Upper Middle","High Income"))))</f>
        <v>Lower Middle</v>
      </c>
      <c r="F470">
        <v>0</v>
      </c>
      <c r="G470" t="s">
        <v>19</v>
      </c>
      <c r="H470" t="s">
        <v>31</v>
      </c>
      <c r="I470" t="s">
        <v>32</v>
      </c>
      <c r="J470">
        <v>0</v>
      </c>
      <c r="K470" t="s">
        <v>22</v>
      </c>
      <c r="L470" t="s">
        <v>23</v>
      </c>
      <c r="M470">
        <v>39</v>
      </c>
      <c r="N470" t="s">
        <v>24</v>
      </c>
      <c r="O470" t="s">
        <v>29</v>
      </c>
      <c r="P470" s="2">
        <v>763.25</v>
      </c>
      <c r="Q470" t="s">
        <v>51</v>
      </c>
      <c r="R470" s="1">
        <v>45090</v>
      </c>
      <c r="S470" s="1"/>
    </row>
    <row r="471" spans="1:19" x14ac:dyDescent="0.3">
      <c r="A471">
        <v>21006</v>
      </c>
      <c r="B471" t="s">
        <v>35</v>
      </c>
      <c r="C471" t="s">
        <v>18</v>
      </c>
      <c r="D471">
        <v>30000</v>
      </c>
      <c r="E471" t="str">
        <f>IF(Sales_Data[[#This Row],[Income]]&lt;=20000,"Low Income",IF(Sales_Data[[#This Row],[Income]]&lt;=40000,"Lower Middle",IF(Sales_Data[[#This Row],[Income]]&lt;=60000,"Middle Income",IF(Sales_Data[[#This Row],[Income]]&lt;=80000,"Upper Middle","High Income"))))</f>
        <v>Lower Middle</v>
      </c>
      <c r="F471">
        <v>1</v>
      </c>
      <c r="G471" t="s">
        <v>27</v>
      </c>
      <c r="H471" t="s">
        <v>42</v>
      </c>
      <c r="I471" t="s">
        <v>32</v>
      </c>
      <c r="J471">
        <v>0</v>
      </c>
      <c r="K471" t="s">
        <v>22</v>
      </c>
      <c r="L471" t="s">
        <v>23</v>
      </c>
      <c r="M471">
        <v>46</v>
      </c>
      <c r="N471" t="s">
        <v>38</v>
      </c>
      <c r="O471" t="s">
        <v>62</v>
      </c>
      <c r="P471" s="2">
        <v>4796.78</v>
      </c>
      <c r="Q471" t="s">
        <v>52</v>
      </c>
      <c r="R471" s="1">
        <v>44974</v>
      </c>
      <c r="S471" s="1"/>
    </row>
    <row r="472" spans="1:19" x14ac:dyDescent="0.3">
      <c r="A472">
        <v>17650</v>
      </c>
      <c r="B472" t="s">
        <v>35</v>
      </c>
      <c r="C472" t="s">
        <v>18</v>
      </c>
      <c r="D472">
        <v>40000</v>
      </c>
      <c r="E472" t="str">
        <f>IF(Sales_Data[[#This Row],[Income]]&lt;=20000,"Low Income",IF(Sales_Data[[#This Row],[Income]]&lt;=40000,"Lower Middle",IF(Sales_Data[[#This Row],[Income]]&lt;=60000,"Middle Income",IF(Sales_Data[[#This Row],[Income]]&lt;=80000,"Upper Middle","High Income"))))</f>
        <v>Lower Middle</v>
      </c>
      <c r="F472">
        <v>2</v>
      </c>
      <c r="G472" t="s">
        <v>27</v>
      </c>
      <c r="H472" t="s">
        <v>28</v>
      </c>
      <c r="I472" t="s">
        <v>21</v>
      </c>
      <c r="J472">
        <v>2</v>
      </c>
      <c r="K472" t="s">
        <v>43</v>
      </c>
      <c r="L472" t="s">
        <v>23</v>
      </c>
      <c r="M472">
        <v>35</v>
      </c>
      <c r="N472" t="s">
        <v>24</v>
      </c>
      <c r="O472" t="s">
        <v>29</v>
      </c>
      <c r="P472" s="2">
        <v>502.56</v>
      </c>
      <c r="Q472" t="s">
        <v>30</v>
      </c>
      <c r="R472" s="1">
        <v>45005</v>
      </c>
      <c r="S472" s="1"/>
    </row>
    <row r="473" spans="1:19" x14ac:dyDescent="0.3">
      <c r="A473">
        <v>22496</v>
      </c>
      <c r="B473" t="s">
        <v>17</v>
      </c>
      <c r="C473" t="s">
        <v>18</v>
      </c>
      <c r="D473">
        <v>30000</v>
      </c>
      <c r="E473" t="str">
        <f>IF(Sales_Data[[#This Row],[Income]]&lt;=20000,"Low Income",IF(Sales_Data[[#This Row],[Income]]&lt;=40000,"Lower Middle",IF(Sales_Data[[#This Row],[Income]]&lt;=60000,"Middle Income",IF(Sales_Data[[#This Row],[Income]]&lt;=80000,"Upper Middle","High Income"))))</f>
        <v>Lower Middle</v>
      </c>
      <c r="F473">
        <v>1</v>
      </c>
      <c r="G473" t="s">
        <v>19</v>
      </c>
      <c r="H473" t="s">
        <v>20</v>
      </c>
      <c r="I473" t="s">
        <v>21</v>
      </c>
      <c r="J473">
        <v>2</v>
      </c>
      <c r="K473" t="s">
        <v>22</v>
      </c>
      <c r="L473" t="s">
        <v>23</v>
      </c>
      <c r="M473">
        <v>42</v>
      </c>
      <c r="N473" t="s">
        <v>24</v>
      </c>
      <c r="O473" t="s">
        <v>25</v>
      </c>
      <c r="P473" s="2">
        <v>6856.31</v>
      </c>
      <c r="Q473" t="s">
        <v>40</v>
      </c>
      <c r="R473" s="1">
        <v>45075</v>
      </c>
      <c r="S473" s="1"/>
    </row>
    <row r="474" spans="1:19" x14ac:dyDescent="0.3">
      <c r="A474">
        <v>12871</v>
      </c>
      <c r="B474" t="s">
        <v>35</v>
      </c>
      <c r="C474" t="s">
        <v>18</v>
      </c>
      <c r="D474">
        <v>30000</v>
      </c>
      <c r="E474" t="str">
        <f>IF(Sales_Data[[#This Row],[Income]]&lt;=20000,"Low Income",IF(Sales_Data[[#This Row],[Income]]&lt;=40000,"Lower Middle",IF(Sales_Data[[#This Row],[Income]]&lt;=60000,"Middle Income",IF(Sales_Data[[#This Row],[Income]]&lt;=80000,"Upper Middle","High Income"))))</f>
        <v>Lower Middle</v>
      </c>
      <c r="F474">
        <v>0</v>
      </c>
      <c r="G474" t="s">
        <v>27</v>
      </c>
      <c r="H474" t="s">
        <v>28</v>
      </c>
      <c r="I474" t="s">
        <v>32</v>
      </c>
      <c r="J474">
        <v>1</v>
      </c>
      <c r="K474" t="s">
        <v>33</v>
      </c>
      <c r="L474" t="s">
        <v>23</v>
      </c>
      <c r="M474">
        <v>29</v>
      </c>
      <c r="N474" t="s">
        <v>24</v>
      </c>
      <c r="O474" t="s">
        <v>25</v>
      </c>
      <c r="P474" s="2">
        <v>6671.76</v>
      </c>
      <c r="Q474" t="s">
        <v>44</v>
      </c>
      <c r="R474" s="1">
        <v>44929</v>
      </c>
      <c r="S474" s="1"/>
    </row>
    <row r="475" spans="1:19" x14ac:dyDescent="0.3">
      <c r="A475">
        <v>22988</v>
      </c>
      <c r="B475" t="s">
        <v>17</v>
      </c>
      <c r="C475" t="s">
        <v>18</v>
      </c>
      <c r="D475">
        <v>40000</v>
      </c>
      <c r="E475" t="str">
        <f>IF(Sales_Data[[#This Row],[Income]]&lt;=20000,"Low Income",IF(Sales_Data[[#This Row],[Income]]&lt;=40000,"Lower Middle",IF(Sales_Data[[#This Row],[Income]]&lt;=60000,"Middle Income",IF(Sales_Data[[#This Row],[Income]]&lt;=80000,"Upper Middle","High Income"))))</f>
        <v>Lower Middle</v>
      </c>
      <c r="F475">
        <v>2</v>
      </c>
      <c r="G475" t="s">
        <v>19</v>
      </c>
      <c r="H475" t="s">
        <v>46</v>
      </c>
      <c r="I475" t="s">
        <v>21</v>
      </c>
      <c r="J475">
        <v>2</v>
      </c>
      <c r="K475" t="s">
        <v>36</v>
      </c>
      <c r="L475" t="s">
        <v>37</v>
      </c>
      <c r="M475">
        <v>66</v>
      </c>
      <c r="N475" t="s">
        <v>24</v>
      </c>
      <c r="O475" t="s">
        <v>29</v>
      </c>
      <c r="P475" s="2">
        <v>9557.09</v>
      </c>
      <c r="Q475" t="s">
        <v>51</v>
      </c>
      <c r="R475" s="1">
        <v>45095</v>
      </c>
      <c r="S475" s="1"/>
    </row>
    <row r="476" spans="1:19" x14ac:dyDescent="0.3">
      <c r="A476">
        <v>27775</v>
      </c>
      <c r="B476" t="s">
        <v>35</v>
      </c>
      <c r="C476" t="s">
        <v>18</v>
      </c>
      <c r="D476">
        <v>40000</v>
      </c>
      <c r="E476" t="str">
        <f>IF(Sales_Data[[#This Row],[Income]]&lt;=20000,"Low Income",IF(Sales_Data[[#This Row],[Income]]&lt;=40000,"Lower Middle",IF(Sales_Data[[#This Row],[Income]]&lt;=60000,"Middle Income",IF(Sales_Data[[#This Row],[Income]]&lt;=80000,"Upper Middle","High Income"))))</f>
        <v>Lower Middle</v>
      </c>
      <c r="F476">
        <v>0</v>
      </c>
      <c r="G476" t="s">
        <v>19</v>
      </c>
      <c r="H476" t="s">
        <v>28</v>
      </c>
      <c r="I476" t="s">
        <v>32</v>
      </c>
      <c r="J476">
        <v>0</v>
      </c>
      <c r="K476" t="s">
        <v>22</v>
      </c>
      <c r="L476" t="s">
        <v>23</v>
      </c>
      <c r="M476">
        <v>38</v>
      </c>
      <c r="N476" t="s">
        <v>38</v>
      </c>
      <c r="O476" t="s">
        <v>39</v>
      </c>
      <c r="P476" s="2">
        <v>7860.13</v>
      </c>
      <c r="Q476" t="s">
        <v>51</v>
      </c>
      <c r="R476" s="1">
        <v>45081</v>
      </c>
      <c r="S476" s="1"/>
    </row>
    <row r="477" spans="1:19" x14ac:dyDescent="0.3">
      <c r="A477">
        <v>12716</v>
      </c>
      <c r="B477" t="s">
        <v>35</v>
      </c>
      <c r="C477" t="s">
        <v>17</v>
      </c>
      <c r="D477">
        <v>30000</v>
      </c>
      <c r="E477" t="str">
        <f>IF(Sales_Data[[#This Row],[Income]]&lt;=20000,"Low Income",IF(Sales_Data[[#This Row],[Income]]&lt;=40000,"Lower Middle",IF(Sales_Data[[#This Row],[Income]]&lt;=60000,"Middle Income",IF(Sales_Data[[#This Row],[Income]]&lt;=80000,"Upper Middle","High Income"))))</f>
        <v>Lower Middle</v>
      </c>
      <c r="F477">
        <v>0</v>
      </c>
      <c r="G477" t="s">
        <v>27</v>
      </c>
      <c r="H477" t="s">
        <v>28</v>
      </c>
      <c r="I477" t="s">
        <v>21</v>
      </c>
      <c r="J477">
        <v>1</v>
      </c>
      <c r="K477" t="s">
        <v>33</v>
      </c>
      <c r="L477" t="s">
        <v>23</v>
      </c>
      <c r="M477">
        <v>32</v>
      </c>
      <c r="N477" t="s">
        <v>38</v>
      </c>
      <c r="O477" t="s">
        <v>41</v>
      </c>
      <c r="P477" s="2">
        <v>2424.63</v>
      </c>
      <c r="Q477" t="s">
        <v>58</v>
      </c>
      <c r="R477" s="1">
        <v>45135</v>
      </c>
      <c r="S477" s="1"/>
    </row>
    <row r="478" spans="1:19" x14ac:dyDescent="0.3">
      <c r="A478">
        <v>12472</v>
      </c>
      <c r="B478" t="s">
        <v>17</v>
      </c>
      <c r="C478" t="s">
        <v>17</v>
      </c>
      <c r="D478">
        <v>30000</v>
      </c>
      <c r="E478" t="str">
        <f>IF(Sales_Data[[#This Row],[Income]]&lt;=20000,"Low Income",IF(Sales_Data[[#This Row],[Income]]&lt;=40000,"Lower Middle",IF(Sales_Data[[#This Row],[Income]]&lt;=60000,"Middle Income",IF(Sales_Data[[#This Row],[Income]]&lt;=80000,"Upper Middle","High Income"))))</f>
        <v>Lower Middle</v>
      </c>
      <c r="F478">
        <v>1</v>
      </c>
      <c r="G478" t="s">
        <v>19</v>
      </c>
      <c r="H478" t="s">
        <v>28</v>
      </c>
      <c r="I478" t="s">
        <v>21</v>
      </c>
      <c r="J478">
        <v>1</v>
      </c>
      <c r="K478" t="s">
        <v>33</v>
      </c>
      <c r="L478" t="s">
        <v>23</v>
      </c>
      <c r="M478">
        <v>39</v>
      </c>
      <c r="N478" t="s">
        <v>24</v>
      </c>
      <c r="O478" t="s">
        <v>29</v>
      </c>
      <c r="P478" s="2">
        <v>8150.91</v>
      </c>
      <c r="Q478" t="s">
        <v>60</v>
      </c>
      <c r="R478" s="1">
        <v>45240</v>
      </c>
      <c r="S478" s="1"/>
    </row>
    <row r="479" spans="1:19" x14ac:dyDescent="0.3">
      <c r="A479">
        <v>19477</v>
      </c>
      <c r="B479" t="s">
        <v>17</v>
      </c>
      <c r="C479" t="s">
        <v>17</v>
      </c>
      <c r="D479">
        <v>40000</v>
      </c>
      <c r="E479" t="str">
        <f>IF(Sales_Data[[#This Row],[Income]]&lt;=20000,"Low Income",IF(Sales_Data[[#This Row],[Income]]&lt;=40000,"Lower Middle",IF(Sales_Data[[#This Row],[Income]]&lt;=60000,"Middle Income",IF(Sales_Data[[#This Row],[Income]]&lt;=80000,"Upper Middle","High Income"))))</f>
        <v>Lower Middle</v>
      </c>
      <c r="F479">
        <v>0</v>
      </c>
      <c r="G479" t="s">
        <v>19</v>
      </c>
      <c r="H479" t="s">
        <v>31</v>
      </c>
      <c r="I479" t="s">
        <v>21</v>
      </c>
      <c r="J479">
        <v>0</v>
      </c>
      <c r="K479" t="s">
        <v>22</v>
      </c>
      <c r="L479" t="s">
        <v>23</v>
      </c>
      <c r="M479">
        <v>40</v>
      </c>
      <c r="N479" t="s">
        <v>38</v>
      </c>
      <c r="O479" t="s">
        <v>62</v>
      </c>
      <c r="P479" s="2">
        <v>3820.43</v>
      </c>
      <c r="Q479" t="s">
        <v>51</v>
      </c>
      <c r="R479" s="1">
        <v>45098</v>
      </c>
      <c r="S479" s="1"/>
    </row>
    <row r="480" spans="1:19" x14ac:dyDescent="0.3">
      <c r="A480">
        <v>26796</v>
      </c>
      <c r="B480" t="s">
        <v>35</v>
      </c>
      <c r="C480" t="s">
        <v>17</v>
      </c>
      <c r="D480">
        <v>40000</v>
      </c>
      <c r="E480" t="str">
        <f>IF(Sales_Data[[#This Row],[Income]]&lt;=20000,"Low Income",IF(Sales_Data[[#This Row],[Income]]&lt;=40000,"Lower Middle",IF(Sales_Data[[#This Row],[Income]]&lt;=60000,"Middle Income",IF(Sales_Data[[#This Row],[Income]]&lt;=80000,"Upper Middle","High Income"))))</f>
        <v>Lower Middle</v>
      </c>
      <c r="F480">
        <v>2</v>
      </c>
      <c r="G480" t="s">
        <v>19</v>
      </c>
      <c r="H480" t="s">
        <v>46</v>
      </c>
      <c r="I480" t="s">
        <v>21</v>
      </c>
      <c r="J480">
        <v>2</v>
      </c>
      <c r="K480" t="s">
        <v>36</v>
      </c>
      <c r="L480" t="s">
        <v>37</v>
      </c>
      <c r="M480">
        <v>65</v>
      </c>
      <c r="N480" t="s">
        <v>38</v>
      </c>
      <c r="O480" t="s">
        <v>62</v>
      </c>
      <c r="P480" s="2">
        <v>3096.79</v>
      </c>
      <c r="Q480" t="s">
        <v>52</v>
      </c>
      <c r="R480" s="1">
        <v>44959</v>
      </c>
      <c r="S480" s="1"/>
    </row>
    <row r="481" spans="1:19" x14ac:dyDescent="0.3">
      <c r="A481">
        <v>21094</v>
      </c>
      <c r="B481" t="s">
        <v>35</v>
      </c>
      <c r="C481" t="s">
        <v>18</v>
      </c>
      <c r="D481">
        <v>30000</v>
      </c>
      <c r="E481" t="str">
        <f>IF(Sales_Data[[#This Row],[Income]]&lt;=20000,"Low Income",IF(Sales_Data[[#This Row],[Income]]&lt;=40000,"Lower Middle",IF(Sales_Data[[#This Row],[Income]]&lt;=60000,"Middle Income",IF(Sales_Data[[#This Row],[Income]]&lt;=80000,"Upper Middle","High Income"))))</f>
        <v>Lower Middle</v>
      </c>
      <c r="F481">
        <v>2</v>
      </c>
      <c r="G481" t="s">
        <v>27</v>
      </c>
      <c r="H481" t="s">
        <v>28</v>
      </c>
      <c r="I481" t="s">
        <v>21</v>
      </c>
      <c r="J481">
        <v>2</v>
      </c>
      <c r="K481" t="s">
        <v>22</v>
      </c>
      <c r="L481" t="s">
        <v>23</v>
      </c>
      <c r="M481">
        <v>42</v>
      </c>
      <c r="N481" t="s">
        <v>38</v>
      </c>
      <c r="O481" t="s">
        <v>54</v>
      </c>
      <c r="P481" s="2">
        <v>6899.38</v>
      </c>
      <c r="Q481" t="s">
        <v>56</v>
      </c>
      <c r="R481" s="1">
        <v>45187</v>
      </c>
      <c r="S481" s="1"/>
    </row>
    <row r="482" spans="1:19" x14ac:dyDescent="0.3">
      <c r="A482">
        <v>26547</v>
      </c>
      <c r="B482" t="s">
        <v>35</v>
      </c>
      <c r="C482" t="s">
        <v>18</v>
      </c>
      <c r="D482">
        <v>30000</v>
      </c>
      <c r="E482" t="str">
        <f>IF(Sales_Data[[#This Row],[Income]]&lt;=20000,"Low Income",IF(Sales_Data[[#This Row],[Income]]&lt;=40000,"Lower Middle",IF(Sales_Data[[#This Row],[Income]]&lt;=60000,"Middle Income",IF(Sales_Data[[#This Row],[Income]]&lt;=80000,"Upper Middle","High Income"))))</f>
        <v>Lower Middle</v>
      </c>
      <c r="F482">
        <v>2</v>
      </c>
      <c r="G482" t="s">
        <v>27</v>
      </c>
      <c r="H482" t="s">
        <v>28</v>
      </c>
      <c r="I482" t="s">
        <v>32</v>
      </c>
      <c r="J482">
        <v>2</v>
      </c>
      <c r="K482" t="s">
        <v>36</v>
      </c>
      <c r="L482" t="s">
        <v>37</v>
      </c>
      <c r="M482">
        <v>60</v>
      </c>
      <c r="N482" t="s">
        <v>24</v>
      </c>
      <c r="O482" t="s">
        <v>34</v>
      </c>
      <c r="P482" s="2">
        <v>6753.79</v>
      </c>
      <c r="Q482" t="s">
        <v>40</v>
      </c>
      <c r="R482" s="1">
        <v>45076</v>
      </c>
      <c r="S482" s="1"/>
    </row>
    <row r="483" spans="1:19" x14ac:dyDescent="0.3">
      <c r="A483">
        <v>22500</v>
      </c>
      <c r="B483" t="s">
        <v>35</v>
      </c>
      <c r="C483" t="s">
        <v>17</v>
      </c>
      <c r="D483">
        <v>40000</v>
      </c>
      <c r="E483" t="str">
        <f>IF(Sales_Data[[#This Row],[Income]]&lt;=20000,"Low Income",IF(Sales_Data[[#This Row],[Income]]&lt;=40000,"Lower Middle",IF(Sales_Data[[#This Row],[Income]]&lt;=60000,"Middle Income",IF(Sales_Data[[#This Row],[Income]]&lt;=80000,"Upper Middle","High Income"))))</f>
        <v>Lower Middle</v>
      </c>
      <c r="F483">
        <v>0</v>
      </c>
      <c r="G483" t="s">
        <v>19</v>
      </c>
      <c r="H483" t="s">
        <v>31</v>
      </c>
      <c r="I483" t="s">
        <v>32</v>
      </c>
      <c r="J483">
        <v>0</v>
      </c>
      <c r="K483" t="s">
        <v>22</v>
      </c>
      <c r="L483" t="s">
        <v>23</v>
      </c>
      <c r="M483">
        <v>40</v>
      </c>
      <c r="N483" t="s">
        <v>24</v>
      </c>
      <c r="O483" t="s">
        <v>25</v>
      </c>
      <c r="P483" s="2">
        <v>7414.48</v>
      </c>
      <c r="Q483" t="s">
        <v>59</v>
      </c>
      <c r="R483" s="1">
        <v>45029</v>
      </c>
      <c r="S483" s="1"/>
    </row>
    <row r="484" spans="1:19" x14ac:dyDescent="0.3">
      <c r="A484">
        <v>14832</v>
      </c>
      <c r="B484" t="s">
        <v>17</v>
      </c>
      <c r="C484" t="s">
        <v>17</v>
      </c>
      <c r="D484">
        <v>40000</v>
      </c>
      <c r="E484" t="str">
        <f>IF(Sales_Data[[#This Row],[Income]]&lt;=20000,"Low Income",IF(Sales_Data[[#This Row],[Income]]&lt;=40000,"Lower Middle",IF(Sales_Data[[#This Row],[Income]]&lt;=60000,"Middle Income",IF(Sales_Data[[#This Row],[Income]]&lt;=80000,"Upper Middle","High Income"))))</f>
        <v>Lower Middle</v>
      </c>
      <c r="F484">
        <v>1</v>
      </c>
      <c r="G484" t="s">
        <v>19</v>
      </c>
      <c r="H484" t="s">
        <v>20</v>
      </c>
      <c r="I484" t="s">
        <v>21</v>
      </c>
      <c r="J484">
        <v>0</v>
      </c>
      <c r="K484" t="s">
        <v>22</v>
      </c>
      <c r="L484" t="s">
        <v>23</v>
      </c>
      <c r="M484">
        <v>42</v>
      </c>
      <c r="N484" t="s">
        <v>38</v>
      </c>
      <c r="O484" t="s">
        <v>62</v>
      </c>
      <c r="P484" s="2">
        <v>2860.72</v>
      </c>
      <c r="Q484" t="s">
        <v>48</v>
      </c>
      <c r="R484" s="1">
        <v>45154</v>
      </c>
      <c r="S484" s="1"/>
    </row>
    <row r="485" spans="1:19" x14ac:dyDescent="0.3">
      <c r="A485">
        <v>20877</v>
      </c>
      <c r="B485" t="s">
        <v>35</v>
      </c>
      <c r="C485" t="s">
        <v>17</v>
      </c>
      <c r="D485">
        <v>30000</v>
      </c>
      <c r="E485" t="str">
        <f>IF(Sales_Data[[#This Row],[Income]]&lt;=20000,"Low Income",IF(Sales_Data[[#This Row],[Income]]&lt;=40000,"Lower Middle",IF(Sales_Data[[#This Row],[Income]]&lt;=60000,"Middle Income",IF(Sales_Data[[#This Row],[Income]]&lt;=80000,"Upper Middle","High Income"))))</f>
        <v>Lower Middle</v>
      </c>
      <c r="F485">
        <v>1</v>
      </c>
      <c r="G485" t="s">
        <v>19</v>
      </c>
      <c r="H485" t="s">
        <v>28</v>
      </c>
      <c r="I485" t="s">
        <v>21</v>
      </c>
      <c r="J485">
        <v>0</v>
      </c>
      <c r="K485" t="s">
        <v>43</v>
      </c>
      <c r="L485" t="s">
        <v>23</v>
      </c>
      <c r="M485">
        <v>37</v>
      </c>
      <c r="N485" t="s">
        <v>38</v>
      </c>
      <c r="O485" t="s">
        <v>62</v>
      </c>
      <c r="P485" s="2">
        <v>2008.54</v>
      </c>
      <c r="Q485" t="s">
        <v>44</v>
      </c>
      <c r="R485" s="1">
        <v>44956</v>
      </c>
      <c r="S485" s="1"/>
    </row>
    <row r="486" spans="1:19" x14ac:dyDescent="0.3">
      <c r="A486">
        <v>20729</v>
      </c>
      <c r="B486" t="s">
        <v>17</v>
      </c>
      <c r="C486" t="s">
        <v>18</v>
      </c>
      <c r="D486">
        <v>40000</v>
      </c>
      <c r="E486" t="str">
        <f>IF(Sales_Data[[#This Row],[Income]]&lt;=20000,"Low Income",IF(Sales_Data[[#This Row],[Income]]&lt;=40000,"Lower Middle",IF(Sales_Data[[#This Row],[Income]]&lt;=60000,"Middle Income",IF(Sales_Data[[#This Row],[Income]]&lt;=80000,"Upper Middle","High Income"))))</f>
        <v>Lower Middle</v>
      </c>
      <c r="F486">
        <v>2</v>
      </c>
      <c r="G486" t="s">
        <v>27</v>
      </c>
      <c r="H486" t="s">
        <v>28</v>
      </c>
      <c r="I486" t="s">
        <v>32</v>
      </c>
      <c r="J486">
        <v>1</v>
      </c>
      <c r="K486" t="s">
        <v>22</v>
      </c>
      <c r="L486" t="s">
        <v>23</v>
      </c>
      <c r="M486">
        <v>34</v>
      </c>
      <c r="N486" t="s">
        <v>38</v>
      </c>
      <c r="O486" t="s">
        <v>47</v>
      </c>
      <c r="P486" s="2">
        <v>8888.7900000000009</v>
      </c>
      <c r="Q486" t="s">
        <v>56</v>
      </c>
      <c r="R486" s="1">
        <v>45182</v>
      </c>
      <c r="S486" s="1"/>
    </row>
    <row r="487" spans="1:19" x14ac:dyDescent="0.3">
      <c r="A487">
        <v>22464</v>
      </c>
      <c r="B487" t="s">
        <v>17</v>
      </c>
      <c r="C487" t="s">
        <v>17</v>
      </c>
      <c r="D487">
        <v>40000</v>
      </c>
      <c r="E487" t="str">
        <f>IF(Sales_Data[[#This Row],[Income]]&lt;=20000,"Low Income",IF(Sales_Data[[#This Row],[Income]]&lt;=40000,"Lower Middle",IF(Sales_Data[[#This Row],[Income]]&lt;=60000,"Middle Income",IF(Sales_Data[[#This Row],[Income]]&lt;=80000,"Upper Middle","High Income"))))</f>
        <v>Lower Middle</v>
      </c>
      <c r="F487">
        <v>0</v>
      </c>
      <c r="G487" t="s">
        <v>61</v>
      </c>
      <c r="H487" t="s">
        <v>28</v>
      </c>
      <c r="I487" t="s">
        <v>21</v>
      </c>
      <c r="J487">
        <v>0</v>
      </c>
      <c r="K487" t="s">
        <v>22</v>
      </c>
      <c r="L487" t="s">
        <v>23</v>
      </c>
      <c r="M487">
        <v>37</v>
      </c>
      <c r="N487" t="s">
        <v>38</v>
      </c>
      <c r="O487" t="s">
        <v>54</v>
      </c>
      <c r="P487" s="2">
        <v>8810.82</v>
      </c>
      <c r="Q487" t="s">
        <v>60</v>
      </c>
      <c r="R487" s="1">
        <v>45250</v>
      </c>
      <c r="S487" s="1"/>
    </row>
    <row r="488" spans="1:19" x14ac:dyDescent="0.3">
      <c r="A488">
        <v>19475</v>
      </c>
      <c r="B488" t="s">
        <v>17</v>
      </c>
      <c r="C488" t="s">
        <v>18</v>
      </c>
      <c r="D488">
        <v>40000</v>
      </c>
      <c r="E488" t="str">
        <f>IF(Sales_Data[[#This Row],[Income]]&lt;=20000,"Low Income",IF(Sales_Data[[#This Row],[Income]]&lt;=40000,"Lower Middle",IF(Sales_Data[[#This Row],[Income]]&lt;=60000,"Middle Income",IF(Sales_Data[[#This Row],[Income]]&lt;=80000,"Upper Middle","High Income"))))</f>
        <v>Lower Middle</v>
      </c>
      <c r="F488">
        <v>0</v>
      </c>
      <c r="G488" t="s">
        <v>19</v>
      </c>
      <c r="H488" t="s">
        <v>31</v>
      </c>
      <c r="I488" t="s">
        <v>32</v>
      </c>
      <c r="J488">
        <v>0</v>
      </c>
      <c r="K488" t="s">
        <v>22</v>
      </c>
      <c r="L488" t="s">
        <v>23</v>
      </c>
      <c r="M488">
        <v>40</v>
      </c>
      <c r="N488" t="s">
        <v>38</v>
      </c>
      <c r="O488" t="s">
        <v>54</v>
      </c>
      <c r="P488" s="2">
        <v>386.56</v>
      </c>
      <c r="Q488" t="s">
        <v>30</v>
      </c>
      <c r="R488" s="1">
        <v>44986</v>
      </c>
      <c r="S488" s="1"/>
    </row>
    <row r="489" spans="1:19" x14ac:dyDescent="0.3">
      <c r="A489">
        <v>12728</v>
      </c>
      <c r="B489" t="s">
        <v>35</v>
      </c>
      <c r="C489" t="s">
        <v>17</v>
      </c>
      <c r="D489">
        <v>30000</v>
      </c>
      <c r="E489" t="str">
        <f>IF(Sales_Data[[#This Row],[Income]]&lt;=20000,"Low Income",IF(Sales_Data[[#This Row],[Income]]&lt;=40000,"Lower Middle",IF(Sales_Data[[#This Row],[Income]]&lt;=60000,"Middle Income",IF(Sales_Data[[#This Row],[Income]]&lt;=80000,"Upper Middle","High Income"))))</f>
        <v>Lower Middle</v>
      </c>
      <c r="F489">
        <v>0</v>
      </c>
      <c r="G489" t="s">
        <v>27</v>
      </c>
      <c r="H489" t="s">
        <v>28</v>
      </c>
      <c r="I489" t="s">
        <v>32</v>
      </c>
      <c r="J489">
        <v>1</v>
      </c>
      <c r="K489" t="s">
        <v>43</v>
      </c>
      <c r="L489" t="s">
        <v>23</v>
      </c>
      <c r="M489">
        <v>27</v>
      </c>
      <c r="N489" t="s">
        <v>24</v>
      </c>
      <c r="O489" t="s">
        <v>49</v>
      </c>
      <c r="P489" s="2">
        <v>1370.82</v>
      </c>
      <c r="Q489" t="s">
        <v>40</v>
      </c>
      <c r="R489" s="1">
        <v>45068</v>
      </c>
      <c r="S489" s="1"/>
    </row>
    <row r="490" spans="1:19" x14ac:dyDescent="0.3">
      <c r="A490">
        <v>24279</v>
      </c>
      <c r="B490" t="s">
        <v>35</v>
      </c>
      <c r="C490" t="s">
        <v>17</v>
      </c>
      <c r="D490">
        <v>40000</v>
      </c>
      <c r="E490" t="str">
        <f>IF(Sales_Data[[#This Row],[Income]]&lt;=20000,"Low Income",IF(Sales_Data[[#This Row],[Income]]&lt;=40000,"Lower Middle",IF(Sales_Data[[#This Row],[Income]]&lt;=60000,"Middle Income",IF(Sales_Data[[#This Row],[Income]]&lt;=80000,"Upper Middle","High Income"))))</f>
        <v>Lower Middle</v>
      </c>
      <c r="F490">
        <v>2</v>
      </c>
      <c r="G490" t="s">
        <v>27</v>
      </c>
      <c r="H490" t="s">
        <v>20</v>
      </c>
      <c r="I490" t="s">
        <v>32</v>
      </c>
      <c r="J490">
        <v>2</v>
      </c>
      <c r="K490" t="s">
        <v>43</v>
      </c>
      <c r="L490" t="s">
        <v>37</v>
      </c>
      <c r="M490">
        <v>52</v>
      </c>
      <c r="N490" t="s">
        <v>24</v>
      </c>
      <c r="O490" t="s">
        <v>29</v>
      </c>
      <c r="P490" s="2">
        <v>864.85</v>
      </c>
      <c r="Q490" t="s">
        <v>40</v>
      </c>
      <c r="R490" s="1">
        <v>45067</v>
      </c>
      <c r="S490" s="1"/>
    </row>
    <row r="491" spans="1:19" x14ac:dyDescent="0.3">
      <c r="A491">
        <v>12273</v>
      </c>
      <c r="B491" t="s">
        <v>17</v>
      </c>
      <c r="C491" t="s">
        <v>17</v>
      </c>
      <c r="D491">
        <v>30000</v>
      </c>
      <c r="E491" t="str">
        <f>IF(Sales_Data[[#This Row],[Income]]&lt;=20000,"Low Income",IF(Sales_Data[[#This Row],[Income]]&lt;=40000,"Lower Middle",IF(Sales_Data[[#This Row],[Income]]&lt;=60000,"Middle Income",IF(Sales_Data[[#This Row],[Income]]&lt;=80000,"Upper Middle","High Income"))))</f>
        <v>Lower Middle</v>
      </c>
      <c r="F491">
        <v>1</v>
      </c>
      <c r="G491" t="s">
        <v>19</v>
      </c>
      <c r="H491" t="s">
        <v>28</v>
      </c>
      <c r="I491" t="s">
        <v>21</v>
      </c>
      <c r="J491">
        <v>0</v>
      </c>
      <c r="K491" t="s">
        <v>22</v>
      </c>
      <c r="L491" t="s">
        <v>23</v>
      </c>
      <c r="M491">
        <v>47</v>
      </c>
      <c r="N491" t="s">
        <v>38</v>
      </c>
      <c r="O491" t="s">
        <v>62</v>
      </c>
      <c r="P491" s="2">
        <v>3007.6</v>
      </c>
      <c r="Q491" t="s">
        <v>30</v>
      </c>
      <c r="R491" s="1">
        <v>45015</v>
      </c>
      <c r="S491" s="1"/>
    </row>
    <row r="492" spans="1:19" x14ac:dyDescent="0.3">
      <c r="A492">
        <v>22170</v>
      </c>
      <c r="B492" t="s">
        <v>17</v>
      </c>
      <c r="C492" t="s">
        <v>18</v>
      </c>
      <c r="D492">
        <v>30000</v>
      </c>
      <c r="E492" t="str">
        <f>IF(Sales_Data[[#This Row],[Income]]&lt;=20000,"Low Income",IF(Sales_Data[[#This Row],[Income]]&lt;=40000,"Lower Middle",IF(Sales_Data[[#This Row],[Income]]&lt;=60000,"Middle Income",IF(Sales_Data[[#This Row],[Income]]&lt;=80000,"Upper Middle","High Income"))))</f>
        <v>Lower Middle</v>
      </c>
      <c r="F492">
        <v>3</v>
      </c>
      <c r="G492" t="s">
        <v>27</v>
      </c>
      <c r="H492" t="s">
        <v>28</v>
      </c>
      <c r="I492" t="s">
        <v>32</v>
      </c>
      <c r="J492">
        <v>2</v>
      </c>
      <c r="K492" t="s">
        <v>43</v>
      </c>
      <c r="L492" t="s">
        <v>37</v>
      </c>
      <c r="M492">
        <v>55</v>
      </c>
      <c r="N492" t="s">
        <v>38</v>
      </c>
      <c r="O492" t="s">
        <v>41</v>
      </c>
      <c r="P492" s="2">
        <v>5860.74</v>
      </c>
      <c r="Q492" t="s">
        <v>44</v>
      </c>
      <c r="R492" s="1">
        <v>44957</v>
      </c>
      <c r="S492" s="1"/>
    </row>
    <row r="493" spans="1:19" x14ac:dyDescent="0.3">
      <c r="A493">
        <v>15265</v>
      </c>
      <c r="B493" t="s">
        <v>35</v>
      </c>
      <c r="C493" t="s">
        <v>17</v>
      </c>
      <c r="D493">
        <v>40000</v>
      </c>
      <c r="E493" t="str">
        <f>IF(Sales_Data[[#This Row],[Income]]&lt;=20000,"Low Income",IF(Sales_Data[[#This Row],[Income]]&lt;=40000,"Lower Middle",IF(Sales_Data[[#This Row],[Income]]&lt;=60000,"Middle Income",IF(Sales_Data[[#This Row],[Income]]&lt;=80000,"Upper Middle","High Income"))))</f>
        <v>Lower Middle</v>
      </c>
      <c r="F493">
        <v>2</v>
      </c>
      <c r="G493" t="s">
        <v>19</v>
      </c>
      <c r="H493" t="s">
        <v>46</v>
      </c>
      <c r="I493" t="s">
        <v>21</v>
      </c>
      <c r="J493">
        <v>2</v>
      </c>
      <c r="K493" t="s">
        <v>36</v>
      </c>
      <c r="L493" t="s">
        <v>37</v>
      </c>
      <c r="M493">
        <v>66</v>
      </c>
      <c r="N493" t="s">
        <v>24</v>
      </c>
      <c r="O493" t="s">
        <v>25</v>
      </c>
      <c r="P493" s="2">
        <v>1813</v>
      </c>
      <c r="Q493" t="s">
        <v>59</v>
      </c>
      <c r="R493" s="1">
        <v>45023</v>
      </c>
      <c r="S493" s="1"/>
    </row>
    <row r="494" spans="1:19" x14ac:dyDescent="0.3">
      <c r="A494">
        <v>11047</v>
      </c>
      <c r="B494" t="s">
        <v>17</v>
      </c>
      <c r="C494" t="s">
        <v>18</v>
      </c>
      <c r="D494">
        <v>30000</v>
      </c>
      <c r="E494" t="str">
        <f>IF(Sales_Data[[#This Row],[Income]]&lt;=20000,"Low Income",IF(Sales_Data[[#This Row],[Income]]&lt;=40000,"Lower Middle",IF(Sales_Data[[#This Row],[Income]]&lt;=60000,"Middle Income",IF(Sales_Data[[#This Row],[Income]]&lt;=80000,"Upper Middle","High Income"))))</f>
        <v>Lower Middle</v>
      </c>
      <c r="F494">
        <v>3</v>
      </c>
      <c r="G494" t="s">
        <v>45</v>
      </c>
      <c r="H494" t="s">
        <v>20</v>
      </c>
      <c r="I494" t="s">
        <v>32</v>
      </c>
      <c r="J494">
        <v>2</v>
      </c>
      <c r="K494" t="s">
        <v>43</v>
      </c>
      <c r="L494" t="s">
        <v>37</v>
      </c>
      <c r="M494">
        <v>56</v>
      </c>
      <c r="N494" t="s">
        <v>38</v>
      </c>
      <c r="O494" t="s">
        <v>62</v>
      </c>
      <c r="P494" s="2">
        <v>2278.5</v>
      </c>
      <c r="Q494" t="s">
        <v>51</v>
      </c>
      <c r="R494" s="1">
        <v>45082</v>
      </c>
      <c r="S494" s="1"/>
    </row>
    <row r="495" spans="1:19" x14ac:dyDescent="0.3">
      <c r="A495">
        <v>19482</v>
      </c>
      <c r="B495" t="s">
        <v>17</v>
      </c>
      <c r="C495" t="s">
        <v>17</v>
      </c>
      <c r="D495">
        <v>30000</v>
      </c>
      <c r="E495" t="str">
        <f>IF(Sales_Data[[#This Row],[Income]]&lt;=20000,"Low Income",IF(Sales_Data[[#This Row],[Income]]&lt;=40000,"Lower Middle",IF(Sales_Data[[#This Row],[Income]]&lt;=60000,"Middle Income",IF(Sales_Data[[#This Row],[Income]]&lt;=80000,"Upper Middle","High Income"))))</f>
        <v>Lower Middle</v>
      </c>
      <c r="F495">
        <v>1</v>
      </c>
      <c r="G495" t="s">
        <v>27</v>
      </c>
      <c r="H495" t="s">
        <v>28</v>
      </c>
      <c r="I495" t="s">
        <v>21</v>
      </c>
      <c r="J495">
        <v>1</v>
      </c>
      <c r="K495" t="s">
        <v>22</v>
      </c>
      <c r="L495" t="s">
        <v>23</v>
      </c>
      <c r="M495">
        <v>44</v>
      </c>
      <c r="N495" t="s">
        <v>24</v>
      </c>
      <c r="O495" t="s">
        <v>25</v>
      </c>
      <c r="P495" s="2">
        <v>6862.94</v>
      </c>
      <c r="Q495" t="s">
        <v>30</v>
      </c>
      <c r="R495" s="1">
        <v>45000</v>
      </c>
      <c r="S495" s="1"/>
    </row>
    <row r="496" spans="1:19" x14ac:dyDescent="0.3">
      <c r="A496">
        <v>16489</v>
      </c>
      <c r="B496" t="s">
        <v>17</v>
      </c>
      <c r="C496" t="s">
        <v>17</v>
      </c>
      <c r="D496">
        <v>30000</v>
      </c>
      <c r="E496" t="str">
        <f>IF(Sales_Data[[#This Row],[Income]]&lt;=20000,"Low Income",IF(Sales_Data[[#This Row],[Income]]&lt;=40000,"Lower Middle",IF(Sales_Data[[#This Row],[Income]]&lt;=60000,"Middle Income",IF(Sales_Data[[#This Row],[Income]]&lt;=80000,"Upper Middle","High Income"))))</f>
        <v>Lower Middle</v>
      </c>
      <c r="F496">
        <v>3</v>
      </c>
      <c r="G496" t="s">
        <v>45</v>
      </c>
      <c r="H496" t="s">
        <v>20</v>
      </c>
      <c r="I496" t="s">
        <v>21</v>
      </c>
      <c r="J496">
        <v>2</v>
      </c>
      <c r="K496" t="s">
        <v>36</v>
      </c>
      <c r="L496" t="s">
        <v>37</v>
      </c>
      <c r="M496">
        <v>55</v>
      </c>
      <c r="N496" t="s">
        <v>38</v>
      </c>
      <c r="O496" t="s">
        <v>39</v>
      </c>
      <c r="P496" s="2">
        <v>8871.61</v>
      </c>
      <c r="Q496" t="s">
        <v>58</v>
      </c>
      <c r="R496" s="1">
        <v>45138</v>
      </c>
      <c r="S496" s="1"/>
    </row>
    <row r="497" spans="1:19" x14ac:dyDescent="0.3">
      <c r="A497">
        <v>18626</v>
      </c>
      <c r="B497" t="s">
        <v>35</v>
      </c>
      <c r="C497" t="s">
        <v>17</v>
      </c>
      <c r="D497">
        <v>40000</v>
      </c>
      <c r="E497" t="str">
        <f>IF(Sales_Data[[#This Row],[Income]]&lt;=20000,"Low Income",IF(Sales_Data[[#This Row],[Income]]&lt;=40000,"Lower Middle",IF(Sales_Data[[#This Row],[Income]]&lt;=60000,"Middle Income",IF(Sales_Data[[#This Row],[Income]]&lt;=80000,"Upper Middle","High Income"))))</f>
        <v>Lower Middle</v>
      </c>
      <c r="F497">
        <v>2</v>
      </c>
      <c r="G497" t="s">
        <v>27</v>
      </c>
      <c r="H497" t="s">
        <v>28</v>
      </c>
      <c r="I497" t="s">
        <v>21</v>
      </c>
      <c r="J497">
        <v>0</v>
      </c>
      <c r="K497" t="s">
        <v>43</v>
      </c>
      <c r="L497" t="s">
        <v>23</v>
      </c>
      <c r="M497">
        <v>33</v>
      </c>
      <c r="N497" t="s">
        <v>24</v>
      </c>
      <c r="O497" t="s">
        <v>29</v>
      </c>
      <c r="P497" s="2">
        <v>8491.9599999999991</v>
      </c>
      <c r="Q497" t="s">
        <v>58</v>
      </c>
      <c r="R497" s="1">
        <v>45127</v>
      </c>
      <c r="S497" s="1"/>
    </row>
    <row r="498" spans="1:19" x14ac:dyDescent="0.3">
      <c r="A498">
        <v>15657</v>
      </c>
      <c r="B498" t="s">
        <v>17</v>
      </c>
      <c r="C498" t="s">
        <v>17</v>
      </c>
      <c r="D498">
        <v>30000</v>
      </c>
      <c r="E498" t="str">
        <f>IF(Sales_Data[[#This Row],[Income]]&lt;=20000,"Low Income",IF(Sales_Data[[#This Row],[Income]]&lt;=40000,"Lower Middle",IF(Sales_Data[[#This Row],[Income]]&lt;=60000,"Middle Income",IF(Sales_Data[[#This Row],[Income]]&lt;=80000,"Upper Middle","High Income"))))</f>
        <v>Lower Middle</v>
      </c>
      <c r="F498">
        <v>3</v>
      </c>
      <c r="G498" t="s">
        <v>61</v>
      </c>
      <c r="H498" t="s">
        <v>28</v>
      </c>
      <c r="I498" t="s">
        <v>21</v>
      </c>
      <c r="J498">
        <v>0</v>
      </c>
      <c r="K498" t="s">
        <v>22</v>
      </c>
      <c r="L498" t="s">
        <v>23</v>
      </c>
      <c r="M498">
        <v>46</v>
      </c>
      <c r="N498" t="s">
        <v>24</v>
      </c>
      <c r="O498" t="s">
        <v>49</v>
      </c>
      <c r="P498" s="2">
        <v>2075.0300000000002</v>
      </c>
      <c r="Q498" t="s">
        <v>44</v>
      </c>
      <c r="R498" s="1">
        <v>44943</v>
      </c>
      <c r="S498" s="1"/>
    </row>
    <row r="499" spans="1:19" x14ac:dyDescent="0.3">
      <c r="A499">
        <v>22633</v>
      </c>
      <c r="B499" t="s">
        <v>35</v>
      </c>
      <c r="C499" t="s">
        <v>18</v>
      </c>
      <c r="D499">
        <v>40000</v>
      </c>
      <c r="E499" t="str">
        <f>IF(Sales_Data[[#This Row],[Income]]&lt;=20000,"Low Income",IF(Sales_Data[[#This Row],[Income]]&lt;=40000,"Lower Middle",IF(Sales_Data[[#This Row],[Income]]&lt;=60000,"Middle Income",IF(Sales_Data[[#This Row],[Income]]&lt;=80000,"Upper Middle","High Income"))))</f>
        <v>Lower Middle</v>
      </c>
      <c r="F499">
        <v>0</v>
      </c>
      <c r="G499" t="s">
        <v>61</v>
      </c>
      <c r="H499" t="s">
        <v>28</v>
      </c>
      <c r="I499" t="s">
        <v>21</v>
      </c>
      <c r="J499">
        <v>0</v>
      </c>
      <c r="K499" t="s">
        <v>22</v>
      </c>
      <c r="L499" t="s">
        <v>23</v>
      </c>
      <c r="M499">
        <v>37</v>
      </c>
      <c r="N499" t="s">
        <v>38</v>
      </c>
      <c r="O499" t="s">
        <v>41</v>
      </c>
      <c r="P499" s="2">
        <v>1242.76</v>
      </c>
      <c r="Q499" t="s">
        <v>40</v>
      </c>
      <c r="R499" s="1">
        <v>45061</v>
      </c>
      <c r="S499" s="1"/>
    </row>
    <row r="500" spans="1:19" x14ac:dyDescent="0.3">
      <c r="A500">
        <v>25649</v>
      </c>
      <c r="B500" t="s">
        <v>35</v>
      </c>
      <c r="C500" t="s">
        <v>18</v>
      </c>
      <c r="D500">
        <v>30000</v>
      </c>
      <c r="E500" t="str">
        <f>IF(Sales_Data[[#This Row],[Income]]&lt;=20000,"Low Income",IF(Sales_Data[[#This Row],[Income]]&lt;=40000,"Lower Middle",IF(Sales_Data[[#This Row],[Income]]&lt;=60000,"Middle Income",IF(Sales_Data[[#This Row],[Income]]&lt;=80000,"Upper Middle","High Income"))))</f>
        <v>Lower Middle</v>
      </c>
      <c r="F500">
        <v>3</v>
      </c>
      <c r="G500" t="s">
        <v>27</v>
      </c>
      <c r="H500" t="s">
        <v>28</v>
      </c>
      <c r="I500" t="s">
        <v>21</v>
      </c>
      <c r="J500">
        <v>0</v>
      </c>
      <c r="K500" t="s">
        <v>22</v>
      </c>
      <c r="L500" t="s">
        <v>23</v>
      </c>
      <c r="M500">
        <v>42</v>
      </c>
      <c r="N500" t="s">
        <v>38</v>
      </c>
      <c r="O500" t="s">
        <v>62</v>
      </c>
      <c r="P500" s="2">
        <v>7682.67</v>
      </c>
      <c r="Q500" t="s">
        <v>52</v>
      </c>
      <c r="R500" s="1">
        <v>44981</v>
      </c>
      <c r="S500" s="1"/>
    </row>
    <row r="501" spans="1:19" x14ac:dyDescent="0.3">
      <c r="A501">
        <v>20946</v>
      </c>
      <c r="B501" t="s">
        <v>35</v>
      </c>
      <c r="C501" t="s">
        <v>18</v>
      </c>
      <c r="D501">
        <v>30000</v>
      </c>
      <c r="E501" t="str">
        <f>IF(Sales_Data[[#This Row],[Income]]&lt;=20000,"Low Income",IF(Sales_Data[[#This Row],[Income]]&lt;=40000,"Lower Middle",IF(Sales_Data[[#This Row],[Income]]&lt;=60000,"Middle Income",IF(Sales_Data[[#This Row],[Income]]&lt;=80000,"Upper Middle","High Income"))))</f>
        <v>Lower Middle</v>
      </c>
      <c r="F501">
        <v>0</v>
      </c>
      <c r="G501" t="s">
        <v>27</v>
      </c>
      <c r="H501" t="s">
        <v>28</v>
      </c>
      <c r="I501" t="s">
        <v>32</v>
      </c>
      <c r="J501">
        <v>1</v>
      </c>
      <c r="K501" t="s">
        <v>33</v>
      </c>
      <c r="L501" t="s">
        <v>23</v>
      </c>
      <c r="M501">
        <v>30</v>
      </c>
      <c r="N501" t="s">
        <v>38</v>
      </c>
      <c r="O501" t="s">
        <v>62</v>
      </c>
      <c r="P501" s="2">
        <v>978.49</v>
      </c>
      <c r="Q501" t="s">
        <v>26</v>
      </c>
      <c r="R501" s="1">
        <v>45286</v>
      </c>
      <c r="S501" s="1"/>
    </row>
    <row r="502" spans="1:19" x14ac:dyDescent="0.3">
      <c r="A502">
        <v>25553</v>
      </c>
      <c r="B502" t="s">
        <v>17</v>
      </c>
      <c r="C502" t="s">
        <v>17</v>
      </c>
      <c r="D502">
        <v>30000</v>
      </c>
      <c r="E502" t="str">
        <f>IF(Sales_Data[[#This Row],[Income]]&lt;=20000,"Low Income",IF(Sales_Data[[#This Row],[Income]]&lt;=40000,"Lower Middle",IF(Sales_Data[[#This Row],[Income]]&lt;=60000,"Middle Income",IF(Sales_Data[[#This Row],[Income]]&lt;=80000,"Upper Middle","High Income"))))</f>
        <v>Lower Middle</v>
      </c>
      <c r="F502">
        <v>1</v>
      </c>
      <c r="G502" t="s">
        <v>19</v>
      </c>
      <c r="H502" t="s">
        <v>28</v>
      </c>
      <c r="I502" t="s">
        <v>21</v>
      </c>
      <c r="J502">
        <v>0</v>
      </c>
      <c r="K502" t="s">
        <v>22</v>
      </c>
      <c r="L502" t="s">
        <v>23</v>
      </c>
      <c r="M502">
        <v>65</v>
      </c>
      <c r="N502" t="s">
        <v>24</v>
      </c>
      <c r="O502" t="s">
        <v>25</v>
      </c>
      <c r="P502" s="2">
        <v>3679.47</v>
      </c>
      <c r="Q502" t="s">
        <v>26</v>
      </c>
      <c r="R502" s="1">
        <v>45264</v>
      </c>
      <c r="S502" s="1"/>
    </row>
    <row r="503" spans="1:19" x14ac:dyDescent="0.3">
      <c r="A503">
        <v>13813</v>
      </c>
      <c r="B503" t="s">
        <v>17</v>
      </c>
      <c r="C503" t="s">
        <v>18</v>
      </c>
      <c r="D503">
        <v>30000</v>
      </c>
      <c r="E503" t="str">
        <f>IF(Sales_Data[[#This Row],[Income]]&lt;=20000,"Low Income",IF(Sales_Data[[#This Row],[Income]]&lt;=40000,"Lower Middle",IF(Sales_Data[[#This Row],[Income]]&lt;=60000,"Middle Income",IF(Sales_Data[[#This Row],[Income]]&lt;=80000,"Upper Middle","High Income"))))</f>
        <v>Lower Middle</v>
      </c>
      <c r="F503">
        <v>3</v>
      </c>
      <c r="G503" t="s">
        <v>27</v>
      </c>
      <c r="H503" t="s">
        <v>28</v>
      </c>
      <c r="I503" t="s">
        <v>32</v>
      </c>
      <c r="J503">
        <v>0</v>
      </c>
      <c r="K503" t="s">
        <v>22</v>
      </c>
      <c r="L503" t="s">
        <v>23</v>
      </c>
      <c r="M503">
        <v>42</v>
      </c>
      <c r="N503" t="s">
        <v>24</v>
      </c>
      <c r="O503" t="s">
        <v>49</v>
      </c>
      <c r="P503" s="2">
        <v>6828.47</v>
      </c>
      <c r="Q503" t="s">
        <v>58</v>
      </c>
      <c r="R503" s="1">
        <v>45117</v>
      </c>
      <c r="S503" s="1"/>
    </row>
    <row r="504" spans="1:19" x14ac:dyDescent="0.3">
      <c r="A504">
        <v>19650</v>
      </c>
      <c r="B504" t="s">
        <v>17</v>
      </c>
      <c r="C504" t="s">
        <v>18</v>
      </c>
      <c r="D504">
        <v>30000</v>
      </c>
      <c r="E504" t="str">
        <f>IF(Sales_Data[[#This Row],[Income]]&lt;=20000,"Low Income",IF(Sales_Data[[#This Row],[Income]]&lt;=40000,"Lower Middle",IF(Sales_Data[[#This Row],[Income]]&lt;=60000,"Middle Income",IF(Sales_Data[[#This Row],[Income]]&lt;=80000,"Upper Middle","High Income"))))</f>
        <v>Lower Middle</v>
      </c>
      <c r="F504">
        <v>2</v>
      </c>
      <c r="G504" t="s">
        <v>27</v>
      </c>
      <c r="H504" t="s">
        <v>28</v>
      </c>
      <c r="I504" t="s">
        <v>32</v>
      </c>
      <c r="J504">
        <v>2</v>
      </c>
      <c r="K504" t="s">
        <v>22</v>
      </c>
      <c r="L504" t="s">
        <v>37</v>
      </c>
      <c r="M504">
        <v>67</v>
      </c>
      <c r="N504" t="s">
        <v>38</v>
      </c>
      <c r="O504" t="s">
        <v>39</v>
      </c>
      <c r="P504" s="2">
        <v>1247.32</v>
      </c>
      <c r="Q504" t="s">
        <v>44</v>
      </c>
      <c r="R504" s="1">
        <v>44952</v>
      </c>
      <c r="S504" s="1"/>
    </row>
    <row r="505" spans="1:19" x14ac:dyDescent="0.3">
      <c r="A505">
        <v>14777</v>
      </c>
      <c r="B505" t="s">
        <v>17</v>
      </c>
      <c r="C505" t="s">
        <v>18</v>
      </c>
      <c r="D505">
        <v>40000</v>
      </c>
      <c r="E505" t="str">
        <f>IF(Sales_Data[[#This Row],[Income]]&lt;=20000,"Low Income",IF(Sales_Data[[#This Row],[Income]]&lt;=40000,"Lower Middle",IF(Sales_Data[[#This Row],[Income]]&lt;=60000,"Middle Income",IF(Sales_Data[[#This Row],[Income]]&lt;=80000,"Upper Middle","High Income"))))</f>
        <v>Lower Middle</v>
      </c>
      <c r="F505">
        <v>0</v>
      </c>
      <c r="G505" t="s">
        <v>19</v>
      </c>
      <c r="H505" t="s">
        <v>28</v>
      </c>
      <c r="I505" t="s">
        <v>21</v>
      </c>
      <c r="J505">
        <v>0</v>
      </c>
      <c r="K505" t="s">
        <v>22</v>
      </c>
      <c r="L505" t="s">
        <v>23</v>
      </c>
      <c r="M505">
        <v>38</v>
      </c>
      <c r="N505" t="s">
        <v>38</v>
      </c>
      <c r="O505" t="s">
        <v>39</v>
      </c>
      <c r="P505" s="2">
        <v>1441.72</v>
      </c>
      <c r="Q505" t="s">
        <v>60</v>
      </c>
      <c r="R505" s="1">
        <v>45236</v>
      </c>
      <c r="S505" s="1"/>
    </row>
    <row r="506" spans="1:19" x14ac:dyDescent="0.3">
      <c r="A506">
        <v>12591</v>
      </c>
      <c r="B506" t="s">
        <v>17</v>
      </c>
      <c r="C506" t="s">
        <v>18</v>
      </c>
      <c r="D506">
        <v>30000</v>
      </c>
      <c r="E506" t="str">
        <f>IF(Sales_Data[[#This Row],[Income]]&lt;=20000,"Low Income",IF(Sales_Data[[#This Row],[Income]]&lt;=40000,"Lower Middle",IF(Sales_Data[[#This Row],[Income]]&lt;=60000,"Middle Income",IF(Sales_Data[[#This Row],[Income]]&lt;=80000,"Upper Middle","High Income"))))</f>
        <v>Lower Middle</v>
      </c>
      <c r="F506">
        <v>4</v>
      </c>
      <c r="G506" t="s">
        <v>61</v>
      </c>
      <c r="H506" t="s">
        <v>28</v>
      </c>
      <c r="I506" t="s">
        <v>21</v>
      </c>
      <c r="J506">
        <v>0</v>
      </c>
      <c r="K506" t="s">
        <v>22</v>
      </c>
      <c r="L506" t="s">
        <v>23</v>
      </c>
      <c r="M506">
        <v>45</v>
      </c>
      <c r="N506" t="s">
        <v>24</v>
      </c>
      <c r="O506" t="s">
        <v>34</v>
      </c>
      <c r="P506" s="2">
        <v>3789.87</v>
      </c>
      <c r="Q506" t="s">
        <v>40</v>
      </c>
      <c r="R506" s="1">
        <v>45075</v>
      </c>
      <c r="S506" s="1"/>
    </row>
    <row r="507" spans="1:19" x14ac:dyDescent="0.3">
      <c r="A507">
        <v>25693</v>
      </c>
      <c r="B507" t="s">
        <v>35</v>
      </c>
      <c r="C507" t="s">
        <v>18</v>
      </c>
      <c r="D507">
        <v>30000</v>
      </c>
      <c r="E507" t="str">
        <f>IF(Sales_Data[[#This Row],[Income]]&lt;=20000,"Low Income",IF(Sales_Data[[#This Row],[Income]]&lt;=40000,"Lower Middle",IF(Sales_Data[[#This Row],[Income]]&lt;=60000,"Middle Income",IF(Sales_Data[[#This Row],[Income]]&lt;=80000,"Upper Middle","High Income"))))</f>
        <v>Lower Middle</v>
      </c>
      <c r="F507">
        <v>5</v>
      </c>
      <c r="G507" t="s">
        <v>61</v>
      </c>
      <c r="H507" t="s">
        <v>28</v>
      </c>
      <c r="I507" t="s">
        <v>21</v>
      </c>
      <c r="J507">
        <v>0</v>
      </c>
      <c r="K507" t="s">
        <v>22</v>
      </c>
      <c r="L507" t="s">
        <v>23</v>
      </c>
      <c r="M507">
        <v>44</v>
      </c>
      <c r="N507" t="s">
        <v>38</v>
      </c>
      <c r="O507" t="s">
        <v>62</v>
      </c>
      <c r="P507" s="2">
        <v>7782.44</v>
      </c>
      <c r="Q507" t="s">
        <v>40</v>
      </c>
      <c r="R507" s="1">
        <v>45068</v>
      </c>
      <c r="S507" s="1"/>
    </row>
    <row r="508" spans="1:19" x14ac:dyDescent="0.3">
      <c r="A508">
        <v>20060</v>
      </c>
      <c r="B508" t="s">
        <v>35</v>
      </c>
      <c r="C508" t="s">
        <v>18</v>
      </c>
      <c r="D508">
        <v>30000</v>
      </c>
      <c r="E508" t="str">
        <f>IF(Sales_Data[[#This Row],[Income]]&lt;=20000,"Low Income",IF(Sales_Data[[#This Row],[Income]]&lt;=40000,"Lower Middle",IF(Sales_Data[[#This Row],[Income]]&lt;=60000,"Middle Income",IF(Sales_Data[[#This Row],[Income]]&lt;=80000,"Upper Middle","High Income"))))</f>
        <v>Lower Middle</v>
      </c>
      <c r="F508">
        <v>0</v>
      </c>
      <c r="G508" t="s">
        <v>45</v>
      </c>
      <c r="H508" t="s">
        <v>42</v>
      </c>
      <c r="I508" t="s">
        <v>32</v>
      </c>
      <c r="J508">
        <v>1</v>
      </c>
      <c r="K508" t="s">
        <v>33</v>
      </c>
      <c r="L508" t="s">
        <v>23</v>
      </c>
      <c r="M508">
        <v>34</v>
      </c>
      <c r="N508" t="s">
        <v>38</v>
      </c>
      <c r="O508" t="s">
        <v>47</v>
      </c>
      <c r="P508" s="2">
        <v>8071.41</v>
      </c>
      <c r="Q508" t="s">
        <v>56</v>
      </c>
      <c r="R508" s="1">
        <v>45171</v>
      </c>
      <c r="S508" s="1"/>
    </row>
    <row r="509" spans="1:19" x14ac:dyDescent="0.3">
      <c r="A509">
        <v>12503</v>
      </c>
      <c r="B509" t="s">
        <v>35</v>
      </c>
      <c r="C509" t="s">
        <v>18</v>
      </c>
      <c r="D509">
        <v>30000</v>
      </c>
      <c r="E509" t="str">
        <f>IF(Sales_Data[[#This Row],[Income]]&lt;=20000,"Low Income",IF(Sales_Data[[#This Row],[Income]]&lt;=40000,"Lower Middle",IF(Sales_Data[[#This Row],[Income]]&lt;=60000,"Middle Income",IF(Sales_Data[[#This Row],[Income]]&lt;=80000,"Upper Middle","High Income"))))</f>
        <v>Lower Middle</v>
      </c>
      <c r="F509">
        <v>3</v>
      </c>
      <c r="G509" t="s">
        <v>27</v>
      </c>
      <c r="H509" t="s">
        <v>28</v>
      </c>
      <c r="I509" t="s">
        <v>21</v>
      </c>
      <c r="J509">
        <v>2</v>
      </c>
      <c r="K509" t="s">
        <v>22</v>
      </c>
      <c r="L509" t="s">
        <v>23</v>
      </c>
      <c r="M509">
        <v>27</v>
      </c>
      <c r="N509" t="s">
        <v>38</v>
      </c>
      <c r="O509" t="s">
        <v>39</v>
      </c>
      <c r="P509" s="2">
        <v>5938.13</v>
      </c>
      <c r="Q509" t="s">
        <v>30</v>
      </c>
      <c r="R509" s="1">
        <v>45003</v>
      </c>
      <c r="S509" s="1"/>
    </row>
    <row r="510" spans="1:19" x14ac:dyDescent="0.3">
      <c r="A510">
        <v>23908</v>
      </c>
      <c r="B510" t="s">
        <v>35</v>
      </c>
      <c r="C510" t="s">
        <v>17</v>
      </c>
      <c r="D510">
        <v>30000</v>
      </c>
      <c r="E510" t="str">
        <f>IF(Sales_Data[[#This Row],[Income]]&lt;=20000,"Low Income",IF(Sales_Data[[#This Row],[Income]]&lt;=40000,"Lower Middle",IF(Sales_Data[[#This Row],[Income]]&lt;=60000,"Middle Income",IF(Sales_Data[[#This Row],[Income]]&lt;=80000,"Upper Middle","High Income"))))</f>
        <v>Lower Middle</v>
      </c>
      <c r="F510">
        <v>1</v>
      </c>
      <c r="G510" t="s">
        <v>19</v>
      </c>
      <c r="H510" t="s">
        <v>28</v>
      </c>
      <c r="I510" t="s">
        <v>32</v>
      </c>
      <c r="J510">
        <v>1</v>
      </c>
      <c r="K510" t="s">
        <v>22</v>
      </c>
      <c r="L510" t="s">
        <v>23</v>
      </c>
      <c r="M510">
        <v>39</v>
      </c>
      <c r="N510" t="s">
        <v>38</v>
      </c>
      <c r="O510" t="s">
        <v>54</v>
      </c>
      <c r="P510" s="2">
        <v>2859.49</v>
      </c>
      <c r="Q510" t="s">
        <v>56</v>
      </c>
      <c r="R510" s="1">
        <v>45175</v>
      </c>
      <c r="S510" s="1"/>
    </row>
    <row r="511" spans="1:19" x14ac:dyDescent="0.3">
      <c r="A511">
        <v>20839</v>
      </c>
      <c r="B511" t="s">
        <v>35</v>
      </c>
      <c r="C511" t="s">
        <v>18</v>
      </c>
      <c r="D511">
        <v>30000</v>
      </c>
      <c r="E511" t="str">
        <f>IF(Sales_Data[[#This Row],[Income]]&lt;=20000,"Low Income",IF(Sales_Data[[#This Row],[Income]]&lt;=40000,"Lower Middle",IF(Sales_Data[[#This Row],[Income]]&lt;=60000,"Middle Income",IF(Sales_Data[[#This Row],[Income]]&lt;=80000,"Upper Middle","High Income"))))</f>
        <v>Lower Middle</v>
      </c>
      <c r="F511">
        <v>3</v>
      </c>
      <c r="G511" t="s">
        <v>61</v>
      </c>
      <c r="H511" t="s">
        <v>28</v>
      </c>
      <c r="I511" t="s">
        <v>21</v>
      </c>
      <c r="J511">
        <v>0</v>
      </c>
      <c r="K511" t="s">
        <v>22</v>
      </c>
      <c r="L511" t="s">
        <v>23</v>
      </c>
      <c r="M511">
        <v>47</v>
      </c>
      <c r="N511" t="s">
        <v>24</v>
      </c>
      <c r="O511" t="s">
        <v>55</v>
      </c>
      <c r="P511" s="2">
        <v>6982</v>
      </c>
      <c r="Q511" t="s">
        <v>56</v>
      </c>
      <c r="R511" s="1">
        <v>45184</v>
      </c>
      <c r="S511" s="1"/>
    </row>
    <row r="512" spans="1:19" x14ac:dyDescent="0.3">
      <c r="A512">
        <v>22672</v>
      </c>
      <c r="B512" t="s">
        <v>35</v>
      </c>
      <c r="C512" t="s">
        <v>18</v>
      </c>
      <c r="D512">
        <v>30000</v>
      </c>
      <c r="E512" t="str">
        <f>IF(Sales_Data[[#This Row],[Income]]&lt;=20000,"Low Income",IF(Sales_Data[[#This Row],[Income]]&lt;=40000,"Lower Middle",IF(Sales_Data[[#This Row],[Income]]&lt;=60000,"Middle Income",IF(Sales_Data[[#This Row],[Income]]&lt;=80000,"Upper Middle","High Income"))))</f>
        <v>Lower Middle</v>
      </c>
      <c r="F512">
        <v>2</v>
      </c>
      <c r="G512" t="s">
        <v>27</v>
      </c>
      <c r="H512" t="s">
        <v>28</v>
      </c>
      <c r="I512" t="s">
        <v>21</v>
      </c>
      <c r="J512">
        <v>0</v>
      </c>
      <c r="K512" t="s">
        <v>22</v>
      </c>
      <c r="L512" t="s">
        <v>23</v>
      </c>
      <c r="M512">
        <v>43</v>
      </c>
      <c r="N512" t="s">
        <v>24</v>
      </c>
      <c r="O512" t="s">
        <v>29</v>
      </c>
      <c r="P512" s="2">
        <v>133.54</v>
      </c>
      <c r="Q512" t="s">
        <v>40</v>
      </c>
      <c r="R512" s="1">
        <v>45069</v>
      </c>
      <c r="S512" s="1"/>
    </row>
    <row r="513" spans="1:19" x14ac:dyDescent="0.3">
      <c r="A513">
        <v>26219</v>
      </c>
      <c r="B513" t="s">
        <v>17</v>
      </c>
      <c r="C513" t="s">
        <v>18</v>
      </c>
      <c r="D513">
        <v>40000</v>
      </c>
      <c r="E513" t="str">
        <f>IF(Sales_Data[[#This Row],[Income]]&lt;=20000,"Low Income",IF(Sales_Data[[#This Row],[Income]]&lt;=40000,"Lower Middle",IF(Sales_Data[[#This Row],[Income]]&lt;=60000,"Middle Income",IF(Sales_Data[[#This Row],[Income]]&lt;=80000,"Upper Middle","High Income"))))</f>
        <v>Lower Middle</v>
      </c>
      <c r="F513">
        <v>1</v>
      </c>
      <c r="G513" t="s">
        <v>19</v>
      </c>
      <c r="H513" t="s">
        <v>20</v>
      </c>
      <c r="I513" t="s">
        <v>21</v>
      </c>
      <c r="J513">
        <v>1</v>
      </c>
      <c r="K513" t="s">
        <v>43</v>
      </c>
      <c r="L513" t="s">
        <v>23</v>
      </c>
      <c r="M513">
        <v>33</v>
      </c>
      <c r="N513" t="s">
        <v>38</v>
      </c>
      <c r="O513" t="s">
        <v>47</v>
      </c>
      <c r="P513" s="2">
        <v>8411.92</v>
      </c>
      <c r="Q513" t="s">
        <v>57</v>
      </c>
      <c r="R513" s="1">
        <v>45210</v>
      </c>
      <c r="S513" s="1"/>
    </row>
    <row r="514" spans="1:19" x14ac:dyDescent="0.3">
      <c r="A514">
        <v>17964</v>
      </c>
      <c r="B514" t="s">
        <v>17</v>
      </c>
      <c r="C514" t="s">
        <v>17</v>
      </c>
      <c r="D514">
        <v>40000</v>
      </c>
      <c r="E514" t="str">
        <f>IF(Sales_Data[[#This Row],[Income]]&lt;=20000,"Low Income",IF(Sales_Data[[#This Row],[Income]]&lt;=40000,"Lower Middle",IF(Sales_Data[[#This Row],[Income]]&lt;=60000,"Middle Income",IF(Sales_Data[[#This Row],[Income]]&lt;=80000,"Upper Middle","High Income"))))</f>
        <v>Lower Middle</v>
      </c>
      <c r="F514">
        <v>0</v>
      </c>
      <c r="G514" t="s">
        <v>61</v>
      </c>
      <c r="H514" t="s">
        <v>28</v>
      </c>
      <c r="I514" t="s">
        <v>21</v>
      </c>
      <c r="J514">
        <v>0</v>
      </c>
      <c r="K514" t="s">
        <v>22</v>
      </c>
      <c r="L514" t="s">
        <v>23</v>
      </c>
      <c r="M514">
        <v>37</v>
      </c>
      <c r="N514" t="s">
        <v>38</v>
      </c>
      <c r="O514" t="s">
        <v>54</v>
      </c>
      <c r="P514" s="2">
        <v>1701.7</v>
      </c>
      <c r="Q514" t="s">
        <v>59</v>
      </c>
      <c r="R514" s="1">
        <v>45039</v>
      </c>
      <c r="S514" s="1"/>
    </row>
    <row r="515" spans="1:19" x14ac:dyDescent="0.3">
      <c r="A515">
        <v>20919</v>
      </c>
      <c r="B515" t="s">
        <v>35</v>
      </c>
      <c r="C515" t="s">
        <v>18</v>
      </c>
      <c r="D515">
        <v>30000</v>
      </c>
      <c r="E515" t="str">
        <f>IF(Sales_Data[[#This Row],[Income]]&lt;=20000,"Low Income",IF(Sales_Data[[#This Row],[Income]]&lt;=40000,"Lower Middle",IF(Sales_Data[[#This Row],[Income]]&lt;=60000,"Middle Income",IF(Sales_Data[[#This Row],[Income]]&lt;=80000,"Upper Middle","High Income"))))</f>
        <v>Lower Middle</v>
      </c>
      <c r="F515">
        <v>2</v>
      </c>
      <c r="G515" t="s">
        <v>27</v>
      </c>
      <c r="H515" t="s">
        <v>28</v>
      </c>
      <c r="I515" t="s">
        <v>21</v>
      </c>
      <c r="J515">
        <v>2</v>
      </c>
      <c r="K515" t="s">
        <v>22</v>
      </c>
      <c r="L515" t="s">
        <v>23</v>
      </c>
      <c r="M515">
        <v>42</v>
      </c>
      <c r="N515" t="s">
        <v>38</v>
      </c>
      <c r="O515" t="s">
        <v>47</v>
      </c>
      <c r="P515" s="2">
        <v>8428.84</v>
      </c>
      <c r="Q515" t="s">
        <v>56</v>
      </c>
      <c r="R515" s="1">
        <v>45181</v>
      </c>
      <c r="S515" s="1"/>
    </row>
    <row r="516" spans="1:19" x14ac:dyDescent="0.3">
      <c r="A516">
        <v>12284</v>
      </c>
      <c r="B516" t="s">
        <v>17</v>
      </c>
      <c r="C516" t="s">
        <v>18</v>
      </c>
      <c r="D516">
        <v>30000</v>
      </c>
      <c r="E516" t="str">
        <f>IF(Sales_Data[[#This Row],[Income]]&lt;=20000,"Low Income",IF(Sales_Data[[#This Row],[Income]]&lt;=40000,"Lower Middle",IF(Sales_Data[[#This Row],[Income]]&lt;=60000,"Middle Income",IF(Sales_Data[[#This Row],[Income]]&lt;=80000,"Upper Middle","High Income"))))</f>
        <v>Lower Middle</v>
      </c>
      <c r="F516">
        <v>0</v>
      </c>
      <c r="G516" t="s">
        <v>19</v>
      </c>
      <c r="H516" t="s">
        <v>28</v>
      </c>
      <c r="I516" t="s">
        <v>32</v>
      </c>
      <c r="J516">
        <v>0</v>
      </c>
      <c r="K516" t="s">
        <v>22</v>
      </c>
      <c r="L516" t="s">
        <v>23</v>
      </c>
      <c r="M516">
        <v>36</v>
      </c>
      <c r="N516" t="s">
        <v>24</v>
      </c>
      <c r="O516" t="s">
        <v>49</v>
      </c>
      <c r="P516" s="2">
        <v>3566.64</v>
      </c>
      <c r="Q516" t="s">
        <v>40</v>
      </c>
      <c r="R516" s="1">
        <v>45077</v>
      </c>
      <c r="S516" s="1"/>
    </row>
    <row r="517" spans="1:19" x14ac:dyDescent="0.3">
      <c r="A517">
        <v>16390</v>
      </c>
      <c r="B517" t="s">
        <v>35</v>
      </c>
      <c r="C517" t="s">
        <v>17</v>
      </c>
      <c r="D517">
        <v>30000</v>
      </c>
      <c r="E517" t="str">
        <f>IF(Sales_Data[[#This Row],[Income]]&lt;=20000,"Low Income",IF(Sales_Data[[#This Row],[Income]]&lt;=40000,"Lower Middle",IF(Sales_Data[[#This Row],[Income]]&lt;=60000,"Middle Income",IF(Sales_Data[[#This Row],[Income]]&lt;=80000,"Upper Middle","High Income"))))</f>
        <v>Lower Middle</v>
      </c>
      <c r="F517">
        <v>1</v>
      </c>
      <c r="G517" t="s">
        <v>19</v>
      </c>
      <c r="H517" t="s">
        <v>28</v>
      </c>
      <c r="I517" t="s">
        <v>32</v>
      </c>
      <c r="J517">
        <v>0</v>
      </c>
      <c r="K517" t="s">
        <v>22</v>
      </c>
      <c r="L517" t="s">
        <v>23</v>
      </c>
      <c r="M517">
        <v>38</v>
      </c>
      <c r="N517" t="s">
        <v>38</v>
      </c>
      <c r="O517" t="s">
        <v>62</v>
      </c>
      <c r="P517" s="2">
        <v>6046.38</v>
      </c>
      <c r="Q517" t="s">
        <v>51</v>
      </c>
      <c r="R517" s="1">
        <v>45096</v>
      </c>
      <c r="S517" s="1"/>
    </row>
    <row r="518" spans="1:19" x14ac:dyDescent="0.3">
      <c r="A518">
        <v>24187</v>
      </c>
      <c r="B518" t="s">
        <v>35</v>
      </c>
      <c r="C518" t="s">
        <v>18</v>
      </c>
      <c r="D518">
        <v>30000</v>
      </c>
      <c r="E518" t="str">
        <f>IF(Sales_Data[[#This Row],[Income]]&lt;=20000,"Low Income",IF(Sales_Data[[#This Row],[Income]]&lt;=40000,"Lower Middle",IF(Sales_Data[[#This Row],[Income]]&lt;=60000,"Middle Income",IF(Sales_Data[[#This Row],[Income]]&lt;=80000,"Upper Middle","High Income"))))</f>
        <v>Lower Middle</v>
      </c>
      <c r="F518">
        <v>3</v>
      </c>
      <c r="G518" t="s">
        <v>61</v>
      </c>
      <c r="H518" t="s">
        <v>28</v>
      </c>
      <c r="I518" t="s">
        <v>32</v>
      </c>
      <c r="J518">
        <v>0</v>
      </c>
      <c r="K518" t="s">
        <v>22</v>
      </c>
      <c r="L518" t="s">
        <v>23</v>
      </c>
      <c r="M518">
        <v>46</v>
      </c>
      <c r="N518" t="s">
        <v>38</v>
      </c>
      <c r="O518" t="s">
        <v>62</v>
      </c>
      <c r="P518" s="2">
        <v>1721.93</v>
      </c>
      <c r="Q518" t="s">
        <v>60</v>
      </c>
      <c r="R518" s="1">
        <v>45258</v>
      </c>
      <c r="S518" s="1"/>
    </row>
    <row r="519" spans="1:19" x14ac:dyDescent="0.3">
      <c r="A519">
        <v>29094</v>
      </c>
      <c r="B519" t="s">
        <v>17</v>
      </c>
      <c r="C519" t="s">
        <v>17</v>
      </c>
      <c r="D519">
        <v>30000</v>
      </c>
      <c r="E519" t="str">
        <f>IF(Sales_Data[[#This Row],[Income]]&lt;=20000,"Low Income",IF(Sales_Data[[#This Row],[Income]]&lt;=40000,"Lower Middle",IF(Sales_Data[[#This Row],[Income]]&lt;=60000,"Middle Income",IF(Sales_Data[[#This Row],[Income]]&lt;=80000,"Upper Middle","High Income"))))</f>
        <v>Lower Middle</v>
      </c>
      <c r="F519">
        <v>3</v>
      </c>
      <c r="G519" t="s">
        <v>45</v>
      </c>
      <c r="H519" t="s">
        <v>20</v>
      </c>
      <c r="I519" t="s">
        <v>21</v>
      </c>
      <c r="J519">
        <v>2</v>
      </c>
      <c r="K519" t="s">
        <v>36</v>
      </c>
      <c r="L519" t="s">
        <v>37</v>
      </c>
      <c r="M519">
        <v>54</v>
      </c>
      <c r="N519" t="s">
        <v>24</v>
      </c>
      <c r="O519" t="s">
        <v>49</v>
      </c>
      <c r="P519" s="2">
        <v>3690.79</v>
      </c>
      <c r="Q519" t="s">
        <v>59</v>
      </c>
      <c r="R519" s="1">
        <v>45028</v>
      </c>
      <c r="S519" s="1"/>
    </row>
    <row r="520" spans="1:19" x14ac:dyDescent="0.3">
      <c r="A520">
        <v>16406</v>
      </c>
      <c r="B520" t="s">
        <v>17</v>
      </c>
      <c r="C520" t="s">
        <v>17</v>
      </c>
      <c r="D520">
        <v>40000</v>
      </c>
      <c r="E520" t="str">
        <f>IF(Sales_Data[[#This Row],[Income]]&lt;=20000,"Low Income",IF(Sales_Data[[#This Row],[Income]]&lt;=40000,"Lower Middle",IF(Sales_Data[[#This Row],[Income]]&lt;=60000,"Middle Income",IF(Sales_Data[[#This Row],[Income]]&lt;=80000,"Upper Middle","High Income"))))</f>
        <v>Lower Middle</v>
      </c>
      <c r="F520">
        <v>0</v>
      </c>
      <c r="G520" t="s">
        <v>19</v>
      </c>
      <c r="H520" t="s">
        <v>28</v>
      </c>
      <c r="I520" t="s">
        <v>32</v>
      </c>
      <c r="J520">
        <v>0</v>
      </c>
      <c r="K520" t="s">
        <v>22</v>
      </c>
      <c r="L520" t="s">
        <v>23</v>
      </c>
      <c r="M520">
        <v>38</v>
      </c>
      <c r="N520" t="s">
        <v>24</v>
      </c>
      <c r="O520" t="s">
        <v>25</v>
      </c>
      <c r="P520" s="2">
        <v>8517.24</v>
      </c>
      <c r="Q520" t="s">
        <v>60</v>
      </c>
      <c r="R520" s="1">
        <v>45237</v>
      </c>
      <c r="S520" s="1"/>
    </row>
    <row r="521" spans="1:19" x14ac:dyDescent="0.3">
      <c r="A521">
        <v>20923</v>
      </c>
      <c r="B521" t="s">
        <v>17</v>
      </c>
      <c r="C521" t="s">
        <v>18</v>
      </c>
      <c r="D521">
        <v>40000</v>
      </c>
      <c r="E521" t="str">
        <f>IF(Sales_Data[[#This Row],[Income]]&lt;=20000,"Low Income",IF(Sales_Data[[#This Row],[Income]]&lt;=40000,"Lower Middle",IF(Sales_Data[[#This Row],[Income]]&lt;=60000,"Middle Income",IF(Sales_Data[[#This Row],[Income]]&lt;=80000,"Upper Middle","High Income"))))</f>
        <v>Lower Middle</v>
      </c>
      <c r="F521">
        <v>1</v>
      </c>
      <c r="G521" t="s">
        <v>19</v>
      </c>
      <c r="H521" t="s">
        <v>20</v>
      </c>
      <c r="I521" t="s">
        <v>21</v>
      </c>
      <c r="J521">
        <v>0</v>
      </c>
      <c r="K521" t="s">
        <v>22</v>
      </c>
      <c r="L521" t="s">
        <v>23</v>
      </c>
      <c r="M521">
        <v>42</v>
      </c>
      <c r="N521" t="s">
        <v>24</v>
      </c>
      <c r="O521" t="s">
        <v>34</v>
      </c>
      <c r="P521" s="2">
        <v>6570.15</v>
      </c>
      <c r="Q521" t="s">
        <v>56</v>
      </c>
      <c r="R521" s="1">
        <v>45179</v>
      </c>
      <c r="S521" s="1"/>
    </row>
    <row r="522" spans="1:19" x14ac:dyDescent="0.3">
      <c r="A522">
        <v>13136</v>
      </c>
      <c r="B522" t="s">
        <v>17</v>
      </c>
      <c r="C522" t="s">
        <v>18</v>
      </c>
      <c r="D522">
        <v>30000</v>
      </c>
      <c r="E522" t="str">
        <f>IF(Sales_Data[[#This Row],[Income]]&lt;=20000,"Low Income",IF(Sales_Data[[#This Row],[Income]]&lt;=40000,"Lower Middle",IF(Sales_Data[[#This Row],[Income]]&lt;=60000,"Middle Income",IF(Sales_Data[[#This Row],[Income]]&lt;=80000,"Upper Middle","High Income"))))</f>
        <v>Lower Middle</v>
      </c>
      <c r="F522">
        <v>2</v>
      </c>
      <c r="G522" t="s">
        <v>27</v>
      </c>
      <c r="H522" t="s">
        <v>28</v>
      </c>
      <c r="I522" t="s">
        <v>32</v>
      </c>
      <c r="J522">
        <v>2</v>
      </c>
      <c r="K522" t="s">
        <v>36</v>
      </c>
      <c r="L522" t="s">
        <v>37</v>
      </c>
      <c r="M522">
        <v>69</v>
      </c>
      <c r="N522" t="s">
        <v>24</v>
      </c>
      <c r="O522" t="s">
        <v>34</v>
      </c>
      <c r="P522" s="2">
        <v>1020.55</v>
      </c>
      <c r="Q522" t="s">
        <v>56</v>
      </c>
      <c r="R522" s="1">
        <v>45194</v>
      </c>
      <c r="S522" s="1"/>
    </row>
    <row r="523" spans="1:19" x14ac:dyDescent="0.3">
      <c r="A523">
        <v>17926</v>
      </c>
      <c r="B523" t="s">
        <v>35</v>
      </c>
      <c r="C523" t="s">
        <v>18</v>
      </c>
      <c r="D523">
        <v>40000</v>
      </c>
      <c r="E523" t="str">
        <f>IF(Sales_Data[[#This Row],[Income]]&lt;=20000,"Low Income",IF(Sales_Data[[#This Row],[Income]]&lt;=40000,"Lower Middle",IF(Sales_Data[[#This Row],[Income]]&lt;=60000,"Middle Income",IF(Sales_Data[[#This Row],[Income]]&lt;=80000,"Upper Middle","High Income"))))</f>
        <v>Lower Middle</v>
      </c>
      <c r="F523">
        <v>0</v>
      </c>
      <c r="G523" t="s">
        <v>19</v>
      </c>
      <c r="H523" t="s">
        <v>28</v>
      </c>
      <c r="I523" t="s">
        <v>32</v>
      </c>
      <c r="J523">
        <v>0</v>
      </c>
      <c r="K523" t="s">
        <v>22</v>
      </c>
      <c r="L523" t="s">
        <v>37</v>
      </c>
      <c r="M523">
        <v>28</v>
      </c>
      <c r="N523" t="s">
        <v>38</v>
      </c>
      <c r="O523" t="s">
        <v>62</v>
      </c>
      <c r="P523" s="2">
        <v>5674.27</v>
      </c>
      <c r="Q523" t="s">
        <v>51</v>
      </c>
      <c r="R523" s="1">
        <v>45105</v>
      </c>
      <c r="S523" s="1"/>
    </row>
    <row r="524" spans="1:19" x14ac:dyDescent="0.3">
      <c r="A524">
        <v>26928</v>
      </c>
      <c r="B524" t="s">
        <v>35</v>
      </c>
      <c r="C524" t="s">
        <v>17</v>
      </c>
      <c r="D524">
        <v>30000</v>
      </c>
      <c r="E524" t="str">
        <f>IF(Sales_Data[[#This Row],[Income]]&lt;=20000,"Low Income",IF(Sales_Data[[#This Row],[Income]]&lt;=40000,"Lower Middle",IF(Sales_Data[[#This Row],[Income]]&lt;=60000,"Middle Income",IF(Sales_Data[[#This Row],[Income]]&lt;=80000,"Upper Middle","High Income"))))</f>
        <v>Lower Middle</v>
      </c>
      <c r="F524">
        <v>1</v>
      </c>
      <c r="G524" t="s">
        <v>19</v>
      </c>
      <c r="H524" t="s">
        <v>28</v>
      </c>
      <c r="I524" t="s">
        <v>21</v>
      </c>
      <c r="J524">
        <v>0</v>
      </c>
      <c r="K524" t="s">
        <v>22</v>
      </c>
      <c r="L524" t="s">
        <v>23</v>
      </c>
      <c r="M524">
        <v>62</v>
      </c>
      <c r="N524" t="s">
        <v>38</v>
      </c>
      <c r="O524" t="s">
        <v>47</v>
      </c>
      <c r="P524" s="2">
        <v>9065.8700000000008</v>
      </c>
      <c r="Q524" t="s">
        <v>40</v>
      </c>
      <c r="R524" s="1">
        <v>45071</v>
      </c>
      <c r="S524" s="1"/>
    </row>
    <row r="525" spans="1:19" x14ac:dyDescent="0.3">
      <c r="A525">
        <v>20897</v>
      </c>
      <c r="B525" t="s">
        <v>17</v>
      </c>
      <c r="C525" t="s">
        <v>18</v>
      </c>
      <c r="D525">
        <v>30000</v>
      </c>
      <c r="E525" t="str">
        <f>IF(Sales_Data[[#This Row],[Income]]&lt;=20000,"Low Income",IF(Sales_Data[[#This Row],[Income]]&lt;=40000,"Lower Middle",IF(Sales_Data[[#This Row],[Income]]&lt;=60000,"Middle Income",IF(Sales_Data[[#This Row],[Income]]&lt;=80000,"Upper Middle","High Income"))))</f>
        <v>Lower Middle</v>
      </c>
      <c r="F525">
        <v>1</v>
      </c>
      <c r="G525" t="s">
        <v>19</v>
      </c>
      <c r="H525" t="s">
        <v>20</v>
      </c>
      <c r="I525" t="s">
        <v>21</v>
      </c>
      <c r="J525">
        <v>2</v>
      </c>
      <c r="K525" t="s">
        <v>22</v>
      </c>
      <c r="L525" t="s">
        <v>23</v>
      </c>
      <c r="M525">
        <v>40</v>
      </c>
      <c r="N525" t="s">
        <v>24</v>
      </c>
      <c r="O525" t="s">
        <v>49</v>
      </c>
      <c r="P525" s="2">
        <v>9605.2900000000009</v>
      </c>
      <c r="Q525" t="s">
        <v>57</v>
      </c>
      <c r="R525" s="1">
        <v>45221</v>
      </c>
      <c r="S525" s="1"/>
    </row>
    <row r="526" spans="1:19" x14ac:dyDescent="0.3">
      <c r="A526">
        <v>28758</v>
      </c>
      <c r="B526" t="s">
        <v>17</v>
      </c>
      <c r="C526" t="s">
        <v>17</v>
      </c>
      <c r="D526">
        <v>40000</v>
      </c>
      <c r="E526" t="str">
        <f>IF(Sales_Data[[#This Row],[Income]]&lt;=20000,"Low Income",IF(Sales_Data[[#This Row],[Income]]&lt;=40000,"Lower Middle",IF(Sales_Data[[#This Row],[Income]]&lt;=60000,"Middle Income",IF(Sales_Data[[#This Row],[Income]]&lt;=80000,"Upper Middle","High Income"))))</f>
        <v>Lower Middle</v>
      </c>
      <c r="F526">
        <v>2</v>
      </c>
      <c r="G526" t="s">
        <v>27</v>
      </c>
      <c r="H526" t="s">
        <v>28</v>
      </c>
      <c r="I526" t="s">
        <v>21</v>
      </c>
      <c r="J526">
        <v>1</v>
      </c>
      <c r="K526" t="s">
        <v>43</v>
      </c>
      <c r="L526" t="s">
        <v>23</v>
      </c>
      <c r="M526">
        <v>35</v>
      </c>
      <c r="N526" t="s">
        <v>24</v>
      </c>
      <c r="O526" t="s">
        <v>25</v>
      </c>
      <c r="P526" s="2">
        <v>9780.74</v>
      </c>
      <c r="Q526" t="s">
        <v>58</v>
      </c>
      <c r="R526" s="1">
        <v>45112</v>
      </c>
      <c r="S526" s="1"/>
    </row>
    <row r="527" spans="1:19" x14ac:dyDescent="0.3">
      <c r="A527">
        <v>23105</v>
      </c>
      <c r="B527" t="s">
        <v>35</v>
      </c>
      <c r="C527" t="s">
        <v>17</v>
      </c>
      <c r="D527">
        <v>40000</v>
      </c>
      <c r="E527" t="str">
        <f>IF(Sales_Data[[#This Row],[Income]]&lt;=20000,"Low Income",IF(Sales_Data[[#This Row],[Income]]&lt;=40000,"Lower Middle",IF(Sales_Data[[#This Row],[Income]]&lt;=60000,"Middle Income",IF(Sales_Data[[#This Row],[Income]]&lt;=80000,"Upper Middle","High Income"))))</f>
        <v>Lower Middle</v>
      </c>
      <c r="F527">
        <v>3</v>
      </c>
      <c r="G527" t="s">
        <v>50</v>
      </c>
      <c r="H527" t="s">
        <v>28</v>
      </c>
      <c r="I527" t="s">
        <v>32</v>
      </c>
      <c r="J527">
        <v>2</v>
      </c>
      <c r="K527" t="s">
        <v>36</v>
      </c>
      <c r="L527" t="s">
        <v>37</v>
      </c>
      <c r="M527">
        <v>52</v>
      </c>
      <c r="N527" t="s">
        <v>38</v>
      </c>
      <c r="O527" t="s">
        <v>47</v>
      </c>
      <c r="P527" s="2">
        <v>3089.5</v>
      </c>
      <c r="Q527" t="s">
        <v>51</v>
      </c>
      <c r="R527" s="1">
        <v>45100</v>
      </c>
      <c r="S527" s="1"/>
    </row>
    <row r="528" spans="1:19" x14ac:dyDescent="0.3">
      <c r="A528">
        <v>14154</v>
      </c>
      <c r="B528" t="s">
        <v>17</v>
      </c>
      <c r="C528" t="s">
        <v>17</v>
      </c>
      <c r="D528">
        <v>30000</v>
      </c>
      <c r="E528" t="str">
        <f>IF(Sales_Data[[#This Row],[Income]]&lt;=20000,"Low Income",IF(Sales_Data[[#This Row],[Income]]&lt;=40000,"Lower Middle",IF(Sales_Data[[#This Row],[Income]]&lt;=60000,"Middle Income",IF(Sales_Data[[#This Row],[Income]]&lt;=80000,"Upper Middle","High Income"))))</f>
        <v>Lower Middle</v>
      </c>
      <c r="F528">
        <v>0</v>
      </c>
      <c r="G528" t="s">
        <v>19</v>
      </c>
      <c r="H528" t="s">
        <v>28</v>
      </c>
      <c r="I528" t="s">
        <v>21</v>
      </c>
      <c r="J528">
        <v>0</v>
      </c>
      <c r="K528" t="s">
        <v>22</v>
      </c>
      <c r="L528" t="s">
        <v>23</v>
      </c>
      <c r="M528">
        <v>35</v>
      </c>
      <c r="N528" t="s">
        <v>24</v>
      </c>
      <c r="O528" t="s">
        <v>55</v>
      </c>
      <c r="P528" s="2">
        <v>5298.97</v>
      </c>
      <c r="Q528" t="s">
        <v>26</v>
      </c>
      <c r="R528" s="1">
        <v>45271</v>
      </c>
      <c r="S528" s="1"/>
    </row>
    <row r="529" spans="1:19" x14ac:dyDescent="0.3">
      <c r="A529">
        <v>11386</v>
      </c>
      <c r="B529" t="s">
        <v>17</v>
      </c>
      <c r="C529" t="s">
        <v>18</v>
      </c>
      <c r="D529">
        <v>30000</v>
      </c>
      <c r="E529" t="str">
        <f>IF(Sales_Data[[#This Row],[Income]]&lt;=20000,"Low Income",IF(Sales_Data[[#This Row],[Income]]&lt;=40000,"Lower Middle",IF(Sales_Data[[#This Row],[Income]]&lt;=60000,"Middle Income",IF(Sales_Data[[#This Row],[Income]]&lt;=80000,"Upper Middle","High Income"))))</f>
        <v>Lower Middle</v>
      </c>
      <c r="F529">
        <v>3</v>
      </c>
      <c r="G529" t="s">
        <v>19</v>
      </c>
      <c r="H529" t="s">
        <v>28</v>
      </c>
      <c r="I529" t="s">
        <v>21</v>
      </c>
      <c r="J529">
        <v>0</v>
      </c>
      <c r="K529" t="s">
        <v>22</v>
      </c>
      <c r="L529" t="s">
        <v>23</v>
      </c>
      <c r="M529">
        <v>45</v>
      </c>
      <c r="N529" t="s">
        <v>24</v>
      </c>
      <c r="O529" t="s">
        <v>29</v>
      </c>
      <c r="P529" s="2">
        <v>687.23</v>
      </c>
      <c r="Q529" t="s">
        <v>56</v>
      </c>
      <c r="R529" s="1">
        <v>45197</v>
      </c>
      <c r="S529" s="1"/>
    </row>
    <row r="530" spans="1:19" x14ac:dyDescent="0.3">
      <c r="A530">
        <v>27760</v>
      </c>
      <c r="B530" t="s">
        <v>35</v>
      </c>
      <c r="C530" t="s">
        <v>18</v>
      </c>
      <c r="D530">
        <v>40000</v>
      </c>
      <c r="E530" t="str">
        <f>IF(Sales_Data[[#This Row],[Income]]&lt;=20000,"Low Income",IF(Sales_Data[[#This Row],[Income]]&lt;=40000,"Lower Middle",IF(Sales_Data[[#This Row],[Income]]&lt;=60000,"Middle Income",IF(Sales_Data[[#This Row],[Income]]&lt;=80000,"Upper Middle","High Income"))))</f>
        <v>Lower Middle</v>
      </c>
      <c r="F530">
        <v>0</v>
      </c>
      <c r="G530" t="s">
        <v>61</v>
      </c>
      <c r="H530" t="s">
        <v>28</v>
      </c>
      <c r="I530" t="s">
        <v>32</v>
      </c>
      <c r="J530">
        <v>0</v>
      </c>
      <c r="K530" t="s">
        <v>22</v>
      </c>
      <c r="L530" t="s">
        <v>23</v>
      </c>
      <c r="M530">
        <v>37</v>
      </c>
      <c r="N530" t="s">
        <v>24</v>
      </c>
      <c r="O530" t="s">
        <v>29</v>
      </c>
      <c r="P530" s="2">
        <v>213.27</v>
      </c>
      <c r="Q530" t="s">
        <v>56</v>
      </c>
      <c r="R530" s="1">
        <v>45196</v>
      </c>
      <c r="S530" s="1"/>
    </row>
    <row r="531" spans="1:19" x14ac:dyDescent="0.3">
      <c r="A531">
        <v>23780</v>
      </c>
      <c r="B531" t="s">
        <v>35</v>
      </c>
      <c r="C531" t="s">
        <v>17</v>
      </c>
      <c r="D531">
        <v>40000</v>
      </c>
      <c r="E531" t="str">
        <f>IF(Sales_Data[[#This Row],[Income]]&lt;=20000,"Low Income",IF(Sales_Data[[#This Row],[Income]]&lt;=40000,"Lower Middle",IF(Sales_Data[[#This Row],[Income]]&lt;=60000,"Middle Income",IF(Sales_Data[[#This Row],[Income]]&lt;=80000,"Upper Middle","High Income"))))</f>
        <v>Lower Middle</v>
      </c>
      <c r="F531">
        <v>2</v>
      </c>
      <c r="G531" t="s">
        <v>27</v>
      </c>
      <c r="H531" t="s">
        <v>28</v>
      </c>
      <c r="I531" t="s">
        <v>32</v>
      </c>
      <c r="J531">
        <v>2</v>
      </c>
      <c r="K531" t="s">
        <v>22</v>
      </c>
      <c r="L531" t="s">
        <v>23</v>
      </c>
      <c r="M531">
        <v>36</v>
      </c>
      <c r="N531" t="s">
        <v>38</v>
      </c>
      <c r="O531" t="s">
        <v>41</v>
      </c>
      <c r="P531" s="2">
        <v>3409.63</v>
      </c>
      <c r="Q531" t="s">
        <v>30</v>
      </c>
      <c r="R531" s="1">
        <v>44998</v>
      </c>
      <c r="S531" s="1"/>
    </row>
    <row r="532" spans="1:19" x14ac:dyDescent="0.3">
      <c r="A532">
        <v>28379</v>
      </c>
      <c r="B532" t="s">
        <v>17</v>
      </c>
      <c r="C532" t="s">
        <v>17</v>
      </c>
      <c r="D532">
        <v>30000</v>
      </c>
      <c r="E532" t="str">
        <f>IF(Sales_Data[[#This Row],[Income]]&lt;=20000,"Low Income",IF(Sales_Data[[#This Row],[Income]]&lt;=40000,"Lower Middle",IF(Sales_Data[[#This Row],[Income]]&lt;=60000,"Middle Income",IF(Sales_Data[[#This Row],[Income]]&lt;=80000,"Upper Middle","High Income"))))</f>
        <v>Lower Middle</v>
      </c>
      <c r="F532">
        <v>1</v>
      </c>
      <c r="G532" t="s">
        <v>19</v>
      </c>
      <c r="H532" t="s">
        <v>20</v>
      </c>
      <c r="I532" t="s">
        <v>21</v>
      </c>
      <c r="J532">
        <v>2</v>
      </c>
      <c r="K532" t="s">
        <v>22</v>
      </c>
      <c r="L532" t="s">
        <v>23</v>
      </c>
      <c r="M532">
        <v>40</v>
      </c>
      <c r="N532" t="s">
        <v>24</v>
      </c>
      <c r="O532" t="s">
        <v>29</v>
      </c>
      <c r="P532" s="2">
        <v>2163.0300000000002</v>
      </c>
      <c r="Q532" t="s">
        <v>58</v>
      </c>
      <c r="R532" s="1">
        <v>45118</v>
      </c>
      <c r="S532" s="1"/>
    </row>
    <row r="533" spans="1:19" x14ac:dyDescent="0.3">
      <c r="A533">
        <v>14865</v>
      </c>
      <c r="B533" t="s">
        <v>35</v>
      </c>
      <c r="C533" t="s">
        <v>17</v>
      </c>
      <c r="D533">
        <v>40000</v>
      </c>
      <c r="E533" t="str">
        <f>IF(Sales_Data[[#This Row],[Income]]&lt;=20000,"Low Income",IF(Sales_Data[[#This Row],[Income]]&lt;=40000,"Lower Middle",IF(Sales_Data[[#This Row],[Income]]&lt;=60000,"Middle Income",IF(Sales_Data[[#This Row],[Income]]&lt;=80000,"Upper Middle","High Income"))))</f>
        <v>Lower Middle</v>
      </c>
      <c r="F533">
        <v>2</v>
      </c>
      <c r="G533" t="s">
        <v>27</v>
      </c>
      <c r="H533" t="s">
        <v>28</v>
      </c>
      <c r="I533" t="s">
        <v>21</v>
      </c>
      <c r="J533">
        <v>2</v>
      </c>
      <c r="K533" t="s">
        <v>43</v>
      </c>
      <c r="L533" t="s">
        <v>23</v>
      </c>
      <c r="M533">
        <v>36</v>
      </c>
      <c r="N533" t="s">
        <v>24</v>
      </c>
      <c r="O533" t="s">
        <v>49</v>
      </c>
      <c r="P533" s="2">
        <v>8838.66</v>
      </c>
      <c r="Q533" t="s">
        <v>59</v>
      </c>
      <c r="R533" s="1">
        <v>45021</v>
      </c>
      <c r="S533" s="1"/>
    </row>
    <row r="534" spans="1:19" x14ac:dyDescent="0.3">
      <c r="A534">
        <v>16468</v>
      </c>
      <c r="B534" t="s">
        <v>35</v>
      </c>
      <c r="C534" t="s">
        <v>17</v>
      </c>
      <c r="D534">
        <v>30000</v>
      </c>
      <c r="E534" t="str">
        <f>IF(Sales_Data[[#This Row],[Income]]&lt;=20000,"Low Income",IF(Sales_Data[[#This Row],[Income]]&lt;=40000,"Lower Middle",IF(Sales_Data[[#This Row],[Income]]&lt;=60000,"Middle Income",IF(Sales_Data[[#This Row],[Income]]&lt;=80000,"Upper Middle","High Income"))))</f>
        <v>Lower Middle</v>
      </c>
      <c r="F534">
        <v>0</v>
      </c>
      <c r="G534" t="s">
        <v>27</v>
      </c>
      <c r="H534" t="s">
        <v>28</v>
      </c>
      <c r="I534" t="s">
        <v>21</v>
      </c>
      <c r="J534">
        <v>1</v>
      </c>
      <c r="K534" t="s">
        <v>33</v>
      </c>
      <c r="L534" t="s">
        <v>23</v>
      </c>
      <c r="M534">
        <v>30</v>
      </c>
      <c r="N534" t="s">
        <v>24</v>
      </c>
      <c r="O534" t="s">
        <v>49</v>
      </c>
      <c r="P534" s="2">
        <v>8149.9</v>
      </c>
      <c r="Q534" t="s">
        <v>60</v>
      </c>
      <c r="R534" s="1">
        <v>45259</v>
      </c>
      <c r="S534" s="1"/>
    </row>
    <row r="535" spans="1:19" x14ac:dyDescent="0.3">
      <c r="A535">
        <v>19174</v>
      </c>
      <c r="B535" t="s">
        <v>35</v>
      </c>
      <c r="C535" t="s">
        <v>18</v>
      </c>
      <c r="D535">
        <v>30000</v>
      </c>
      <c r="E535" t="str">
        <f>IF(Sales_Data[[#This Row],[Income]]&lt;=20000,"Low Income",IF(Sales_Data[[#This Row],[Income]]&lt;=40000,"Lower Middle",IF(Sales_Data[[#This Row],[Income]]&lt;=60000,"Middle Income",IF(Sales_Data[[#This Row],[Income]]&lt;=80000,"Upper Middle","High Income"))))</f>
        <v>Lower Middle</v>
      </c>
      <c r="F535">
        <v>0</v>
      </c>
      <c r="G535" t="s">
        <v>45</v>
      </c>
      <c r="H535" t="s">
        <v>42</v>
      </c>
      <c r="I535" t="s">
        <v>32</v>
      </c>
      <c r="J535">
        <v>1</v>
      </c>
      <c r="K535" t="s">
        <v>33</v>
      </c>
      <c r="L535" t="s">
        <v>23</v>
      </c>
      <c r="M535">
        <v>32</v>
      </c>
      <c r="N535" t="s">
        <v>24</v>
      </c>
      <c r="O535" t="s">
        <v>55</v>
      </c>
      <c r="P535" s="2">
        <v>2761.82</v>
      </c>
      <c r="Q535" t="s">
        <v>40</v>
      </c>
      <c r="R535" s="1">
        <v>45060</v>
      </c>
      <c r="S535" s="1"/>
    </row>
    <row r="536" spans="1:19" x14ac:dyDescent="0.3">
      <c r="A536">
        <v>13683</v>
      </c>
      <c r="B536" t="s">
        <v>35</v>
      </c>
      <c r="C536" t="s">
        <v>18</v>
      </c>
      <c r="D536">
        <v>30000</v>
      </c>
      <c r="E536" t="str">
        <f>IF(Sales_Data[[#This Row],[Income]]&lt;=20000,"Low Income",IF(Sales_Data[[#This Row],[Income]]&lt;=40000,"Lower Middle",IF(Sales_Data[[#This Row],[Income]]&lt;=60000,"Middle Income",IF(Sales_Data[[#This Row],[Income]]&lt;=80000,"Upper Middle","High Income"))))</f>
        <v>Lower Middle</v>
      </c>
      <c r="F536">
        <v>0</v>
      </c>
      <c r="G536" t="s">
        <v>45</v>
      </c>
      <c r="H536" t="s">
        <v>42</v>
      </c>
      <c r="I536" t="s">
        <v>32</v>
      </c>
      <c r="J536">
        <v>1</v>
      </c>
      <c r="K536" t="s">
        <v>33</v>
      </c>
      <c r="L536" t="s">
        <v>23</v>
      </c>
      <c r="M536">
        <v>32</v>
      </c>
      <c r="N536" t="s">
        <v>38</v>
      </c>
      <c r="O536" t="s">
        <v>54</v>
      </c>
      <c r="P536" s="2">
        <v>7346.98</v>
      </c>
      <c r="Q536" t="s">
        <v>52</v>
      </c>
      <c r="R536" s="1">
        <v>44967</v>
      </c>
      <c r="S536" s="1"/>
    </row>
    <row r="537" spans="1:19" x14ac:dyDescent="0.3">
      <c r="A537">
        <v>17848</v>
      </c>
      <c r="B537" t="s">
        <v>35</v>
      </c>
      <c r="C537" t="s">
        <v>17</v>
      </c>
      <c r="D537">
        <v>30000</v>
      </c>
      <c r="E537" t="str">
        <f>IF(Sales_Data[[#This Row],[Income]]&lt;=20000,"Low Income",IF(Sales_Data[[#This Row],[Income]]&lt;=40000,"Lower Middle",IF(Sales_Data[[#This Row],[Income]]&lt;=60000,"Middle Income",IF(Sales_Data[[#This Row],[Income]]&lt;=80000,"Upper Middle","High Income"))))</f>
        <v>Lower Middle</v>
      </c>
      <c r="F537">
        <v>0</v>
      </c>
      <c r="G537" t="s">
        <v>27</v>
      </c>
      <c r="H537" t="s">
        <v>28</v>
      </c>
      <c r="I537" t="s">
        <v>32</v>
      </c>
      <c r="J537">
        <v>1</v>
      </c>
      <c r="K537" t="s">
        <v>33</v>
      </c>
      <c r="L537" t="s">
        <v>23</v>
      </c>
      <c r="M537">
        <v>31</v>
      </c>
      <c r="N537" t="s">
        <v>24</v>
      </c>
      <c r="O537" t="s">
        <v>49</v>
      </c>
      <c r="P537" s="2">
        <v>5005.08</v>
      </c>
      <c r="Q537" t="s">
        <v>51</v>
      </c>
      <c r="R537" s="1">
        <v>45078</v>
      </c>
      <c r="S537" s="1"/>
    </row>
    <row r="538" spans="1:19" x14ac:dyDescent="0.3">
      <c r="A538">
        <v>25651</v>
      </c>
      <c r="B538" t="s">
        <v>17</v>
      </c>
      <c r="C538" t="s">
        <v>17</v>
      </c>
      <c r="D538">
        <v>40000</v>
      </c>
      <c r="E538" t="str">
        <f>IF(Sales_Data[[#This Row],[Income]]&lt;=20000,"Low Income",IF(Sales_Data[[#This Row],[Income]]&lt;=40000,"Lower Middle",IF(Sales_Data[[#This Row],[Income]]&lt;=60000,"Middle Income",IF(Sales_Data[[#This Row],[Income]]&lt;=80000,"Upper Middle","High Income"))))</f>
        <v>Lower Middle</v>
      </c>
      <c r="F538">
        <v>1</v>
      </c>
      <c r="G538" t="s">
        <v>19</v>
      </c>
      <c r="H538" t="s">
        <v>20</v>
      </c>
      <c r="I538" t="s">
        <v>32</v>
      </c>
      <c r="J538">
        <v>0</v>
      </c>
      <c r="K538" t="s">
        <v>22</v>
      </c>
      <c r="L538" t="s">
        <v>23</v>
      </c>
      <c r="M538">
        <v>43</v>
      </c>
      <c r="N538" t="s">
        <v>24</v>
      </c>
      <c r="O538" t="s">
        <v>55</v>
      </c>
      <c r="P538" s="2">
        <v>5812.48</v>
      </c>
      <c r="Q538" t="s">
        <v>52</v>
      </c>
      <c r="R538" s="1">
        <v>44976</v>
      </c>
      <c r="S538" s="1"/>
    </row>
    <row r="539" spans="1:19" x14ac:dyDescent="0.3">
      <c r="A539">
        <v>24121</v>
      </c>
      <c r="B539" t="s">
        <v>35</v>
      </c>
      <c r="C539" t="s">
        <v>18</v>
      </c>
      <c r="D539">
        <v>30000</v>
      </c>
      <c r="E539" t="str">
        <f>IF(Sales_Data[[#This Row],[Income]]&lt;=20000,"Low Income",IF(Sales_Data[[#This Row],[Income]]&lt;=40000,"Lower Middle",IF(Sales_Data[[#This Row],[Income]]&lt;=60000,"Middle Income",IF(Sales_Data[[#This Row],[Income]]&lt;=80000,"Upper Middle","High Income"))))</f>
        <v>Lower Middle</v>
      </c>
      <c r="F539">
        <v>0</v>
      </c>
      <c r="G539" t="s">
        <v>27</v>
      </c>
      <c r="H539" t="s">
        <v>28</v>
      </c>
      <c r="I539" t="s">
        <v>32</v>
      </c>
      <c r="J539">
        <v>1</v>
      </c>
      <c r="K539" t="s">
        <v>22</v>
      </c>
      <c r="L539" t="s">
        <v>23</v>
      </c>
      <c r="M539">
        <v>29</v>
      </c>
      <c r="N539" t="s">
        <v>24</v>
      </c>
      <c r="O539" t="s">
        <v>55</v>
      </c>
      <c r="P539" s="2">
        <v>897.68</v>
      </c>
      <c r="Q539" t="s">
        <v>30</v>
      </c>
      <c r="R539" s="1">
        <v>45007</v>
      </c>
      <c r="S539" s="1"/>
    </row>
    <row r="540" spans="1:19" x14ac:dyDescent="0.3">
      <c r="A540">
        <v>26354</v>
      </c>
      <c r="B540" t="s">
        <v>35</v>
      </c>
      <c r="C540" t="s">
        <v>17</v>
      </c>
      <c r="D540">
        <v>40000</v>
      </c>
      <c r="E540" t="str">
        <f>IF(Sales_Data[[#This Row],[Income]]&lt;=20000,"Low Income",IF(Sales_Data[[#This Row],[Income]]&lt;=40000,"Lower Middle",IF(Sales_Data[[#This Row],[Income]]&lt;=60000,"Middle Income",IF(Sales_Data[[#This Row],[Income]]&lt;=80000,"Upper Middle","High Income"))))</f>
        <v>Lower Middle</v>
      </c>
      <c r="F540">
        <v>0</v>
      </c>
      <c r="G540" t="s">
        <v>61</v>
      </c>
      <c r="H540" t="s">
        <v>28</v>
      </c>
      <c r="I540" t="s">
        <v>32</v>
      </c>
      <c r="J540">
        <v>0</v>
      </c>
      <c r="K540" t="s">
        <v>22</v>
      </c>
      <c r="L540" t="s">
        <v>23</v>
      </c>
      <c r="M540">
        <v>38</v>
      </c>
      <c r="N540" t="s">
        <v>38</v>
      </c>
      <c r="O540" t="s">
        <v>47</v>
      </c>
      <c r="P540" s="2">
        <v>6513.86</v>
      </c>
      <c r="Q540" t="s">
        <v>52</v>
      </c>
      <c r="R540" s="1">
        <v>44982</v>
      </c>
      <c r="S540" s="1"/>
    </row>
    <row r="541" spans="1:19" x14ac:dyDescent="0.3">
      <c r="A541">
        <v>14785</v>
      </c>
      <c r="B541" t="s">
        <v>35</v>
      </c>
      <c r="C541" t="s">
        <v>17</v>
      </c>
      <c r="D541">
        <v>30000</v>
      </c>
      <c r="E541" t="str">
        <f>IF(Sales_Data[[#This Row],[Income]]&lt;=20000,"Low Income",IF(Sales_Data[[#This Row],[Income]]&lt;=40000,"Lower Middle",IF(Sales_Data[[#This Row],[Income]]&lt;=60000,"Middle Income",IF(Sales_Data[[#This Row],[Income]]&lt;=80000,"Upper Middle","High Income"))))</f>
        <v>Lower Middle</v>
      </c>
      <c r="F541">
        <v>1</v>
      </c>
      <c r="G541" t="s">
        <v>19</v>
      </c>
      <c r="H541" t="s">
        <v>28</v>
      </c>
      <c r="I541" t="s">
        <v>32</v>
      </c>
      <c r="J541">
        <v>1</v>
      </c>
      <c r="K541" t="s">
        <v>43</v>
      </c>
      <c r="L541" t="s">
        <v>23</v>
      </c>
      <c r="M541">
        <v>39</v>
      </c>
      <c r="N541" t="s">
        <v>38</v>
      </c>
      <c r="O541" t="s">
        <v>54</v>
      </c>
      <c r="P541" s="2">
        <v>9691.69</v>
      </c>
      <c r="Q541" t="s">
        <v>56</v>
      </c>
      <c r="R541" s="1">
        <v>45181</v>
      </c>
      <c r="S541" s="1"/>
    </row>
    <row r="542" spans="1:19" x14ac:dyDescent="0.3">
      <c r="A542">
        <v>22518</v>
      </c>
      <c r="B542" t="s">
        <v>35</v>
      </c>
      <c r="C542" t="s">
        <v>18</v>
      </c>
      <c r="D542">
        <v>30000</v>
      </c>
      <c r="E542" t="str">
        <f>IF(Sales_Data[[#This Row],[Income]]&lt;=20000,"Low Income",IF(Sales_Data[[#This Row],[Income]]&lt;=40000,"Lower Middle",IF(Sales_Data[[#This Row],[Income]]&lt;=60000,"Middle Income",IF(Sales_Data[[#This Row],[Income]]&lt;=80000,"Upper Middle","High Income"))))</f>
        <v>Lower Middle</v>
      </c>
      <c r="F542">
        <v>3</v>
      </c>
      <c r="G542" t="s">
        <v>27</v>
      </c>
      <c r="H542" t="s">
        <v>28</v>
      </c>
      <c r="I542" t="s">
        <v>32</v>
      </c>
      <c r="J542">
        <v>2</v>
      </c>
      <c r="K542" t="s">
        <v>22</v>
      </c>
      <c r="L542" t="s">
        <v>23</v>
      </c>
      <c r="M542">
        <v>27</v>
      </c>
      <c r="N542" t="s">
        <v>38</v>
      </c>
      <c r="O542" t="s">
        <v>62</v>
      </c>
      <c r="P542" s="2">
        <v>7904.74</v>
      </c>
      <c r="Q542" t="s">
        <v>57</v>
      </c>
      <c r="R542" s="1">
        <v>45203</v>
      </c>
      <c r="S542" s="1"/>
    </row>
    <row r="543" spans="1:19" x14ac:dyDescent="0.3">
      <c r="A543">
        <v>13687</v>
      </c>
      <c r="B543" t="s">
        <v>17</v>
      </c>
      <c r="C543" t="s">
        <v>17</v>
      </c>
      <c r="D543">
        <v>40000</v>
      </c>
      <c r="E543" t="str">
        <f>IF(Sales_Data[[#This Row],[Income]]&lt;=20000,"Low Income",IF(Sales_Data[[#This Row],[Income]]&lt;=40000,"Lower Middle",IF(Sales_Data[[#This Row],[Income]]&lt;=60000,"Middle Income",IF(Sales_Data[[#This Row],[Income]]&lt;=80000,"Upper Middle","High Income"))))</f>
        <v>Lower Middle</v>
      </c>
      <c r="F543">
        <v>1</v>
      </c>
      <c r="G543" t="s">
        <v>19</v>
      </c>
      <c r="H543" t="s">
        <v>20</v>
      </c>
      <c r="I543" t="s">
        <v>21</v>
      </c>
      <c r="J543">
        <v>1</v>
      </c>
      <c r="K543" t="s">
        <v>22</v>
      </c>
      <c r="L543" t="s">
        <v>23</v>
      </c>
      <c r="M543">
        <v>33</v>
      </c>
      <c r="N543" t="s">
        <v>24</v>
      </c>
      <c r="O543" t="s">
        <v>49</v>
      </c>
      <c r="P543" s="2">
        <v>7495.12</v>
      </c>
      <c r="Q543" t="s">
        <v>51</v>
      </c>
      <c r="R543" s="1">
        <v>45100</v>
      </c>
      <c r="S543" s="1"/>
    </row>
    <row r="544" spans="1:19" x14ac:dyDescent="0.3">
      <c r="A544">
        <v>23571</v>
      </c>
      <c r="B544" t="s">
        <v>17</v>
      </c>
      <c r="C544" t="s">
        <v>18</v>
      </c>
      <c r="D544">
        <v>40000</v>
      </c>
      <c r="E544" t="str">
        <f>IF(Sales_Data[[#This Row],[Income]]&lt;=20000,"Low Income",IF(Sales_Data[[#This Row],[Income]]&lt;=40000,"Lower Middle",IF(Sales_Data[[#This Row],[Income]]&lt;=60000,"Middle Income",IF(Sales_Data[[#This Row],[Income]]&lt;=80000,"Upper Middle","High Income"))))</f>
        <v>Lower Middle</v>
      </c>
      <c r="F544">
        <v>2</v>
      </c>
      <c r="G544" t="s">
        <v>19</v>
      </c>
      <c r="H544" t="s">
        <v>46</v>
      </c>
      <c r="I544" t="s">
        <v>21</v>
      </c>
      <c r="J544">
        <v>2</v>
      </c>
      <c r="K544" t="s">
        <v>22</v>
      </c>
      <c r="L544" t="s">
        <v>37</v>
      </c>
      <c r="M544">
        <v>66</v>
      </c>
      <c r="N544" t="s">
        <v>38</v>
      </c>
      <c r="O544" t="s">
        <v>62</v>
      </c>
      <c r="P544" s="2">
        <v>4319.1400000000003</v>
      </c>
      <c r="Q544" t="s">
        <v>26</v>
      </c>
      <c r="R544" s="1">
        <v>45283</v>
      </c>
      <c r="S544" s="1"/>
    </row>
    <row r="545" spans="1:19" x14ac:dyDescent="0.3">
      <c r="A545">
        <v>22636</v>
      </c>
      <c r="B545" t="s">
        <v>35</v>
      </c>
      <c r="C545" t="s">
        <v>18</v>
      </c>
      <c r="D545">
        <v>40000</v>
      </c>
      <c r="E545" t="str">
        <f>IF(Sales_Data[[#This Row],[Income]]&lt;=20000,"Low Income",IF(Sales_Data[[#This Row],[Income]]&lt;=40000,"Lower Middle",IF(Sales_Data[[#This Row],[Income]]&lt;=60000,"Middle Income",IF(Sales_Data[[#This Row],[Income]]&lt;=80000,"Upper Middle","High Income"))))</f>
        <v>Lower Middle</v>
      </c>
      <c r="F545">
        <v>0</v>
      </c>
      <c r="G545" t="s">
        <v>19</v>
      </c>
      <c r="H545" t="s">
        <v>28</v>
      </c>
      <c r="I545" t="s">
        <v>32</v>
      </c>
      <c r="J545">
        <v>0</v>
      </c>
      <c r="K545" t="s">
        <v>22</v>
      </c>
      <c r="L545" t="s">
        <v>23</v>
      </c>
      <c r="M545">
        <v>38</v>
      </c>
      <c r="N545" t="s">
        <v>24</v>
      </c>
      <c r="O545" t="s">
        <v>29</v>
      </c>
      <c r="P545" s="2">
        <v>5081.8</v>
      </c>
      <c r="Q545" t="s">
        <v>26</v>
      </c>
      <c r="R545" s="1">
        <v>45268</v>
      </c>
      <c r="S545" s="1"/>
    </row>
    <row r="546" spans="1:19" x14ac:dyDescent="0.3">
      <c r="A546">
        <v>25918</v>
      </c>
      <c r="B546" t="s">
        <v>35</v>
      </c>
      <c r="C546" t="s">
        <v>18</v>
      </c>
      <c r="D546">
        <v>30000</v>
      </c>
      <c r="E546" t="str">
        <f>IF(Sales_Data[[#This Row],[Income]]&lt;=20000,"Low Income",IF(Sales_Data[[#This Row],[Income]]&lt;=40000,"Lower Middle",IF(Sales_Data[[#This Row],[Income]]&lt;=60000,"Middle Income",IF(Sales_Data[[#This Row],[Income]]&lt;=80000,"Upper Middle","High Income"))))</f>
        <v>Lower Middle</v>
      </c>
      <c r="F546">
        <v>2</v>
      </c>
      <c r="G546" t="s">
        <v>27</v>
      </c>
      <c r="H546" t="s">
        <v>28</v>
      </c>
      <c r="I546" t="s">
        <v>32</v>
      </c>
      <c r="J546">
        <v>2</v>
      </c>
      <c r="K546" t="s">
        <v>36</v>
      </c>
      <c r="L546" t="s">
        <v>37</v>
      </c>
      <c r="M546">
        <v>60</v>
      </c>
      <c r="N546" t="s">
        <v>24</v>
      </c>
      <c r="O546" t="s">
        <v>25</v>
      </c>
      <c r="P546" s="2">
        <v>9729.26</v>
      </c>
      <c r="Q546" t="s">
        <v>56</v>
      </c>
      <c r="R546" s="1">
        <v>45170</v>
      </c>
      <c r="S546" s="1"/>
    </row>
    <row r="547" spans="1:19" x14ac:dyDescent="0.3">
      <c r="A547">
        <v>12510</v>
      </c>
      <c r="B547" t="s">
        <v>17</v>
      </c>
      <c r="C547" t="s">
        <v>17</v>
      </c>
      <c r="D547">
        <v>40000</v>
      </c>
      <c r="E547" t="str">
        <f>IF(Sales_Data[[#This Row],[Income]]&lt;=20000,"Low Income",IF(Sales_Data[[#This Row],[Income]]&lt;=40000,"Lower Middle",IF(Sales_Data[[#This Row],[Income]]&lt;=60000,"Middle Income",IF(Sales_Data[[#This Row],[Income]]&lt;=80000,"Upper Middle","High Income"))))</f>
        <v>Lower Middle</v>
      </c>
      <c r="F547">
        <v>1</v>
      </c>
      <c r="G547" t="s">
        <v>19</v>
      </c>
      <c r="H547" t="s">
        <v>20</v>
      </c>
      <c r="I547" t="s">
        <v>21</v>
      </c>
      <c r="J547">
        <v>1</v>
      </c>
      <c r="K547" t="s">
        <v>22</v>
      </c>
      <c r="L547" t="s">
        <v>23</v>
      </c>
      <c r="M547">
        <v>43</v>
      </c>
      <c r="N547" t="s">
        <v>24</v>
      </c>
      <c r="O547" t="s">
        <v>25</v>
      </c>
      <c r="P547" s="2">
        <v>7682.1</v>
      </c>
      <c r="Q547" t="s">
        <v>60</v>
      </c>
      <c r="R547" s="1">
        <v>45245</v>
      </c>
      <c r="S547" s="1"/>
    </row>
    <row r="548" spans="1:19" x14ac:dyDescent="0.3">
      <c r="A548">
        <v>15628</v>
      </c>
      <c r="B548" t="s">
        <v>17</v>
      </c>
      <c r="C548" t="s">
        <v>18</v>
      </c>
      <c r="D548">
        <v>40000</v>
      </c>
      <c r="E548" t="str">
        <f>IF(Sales_Data[[#This Row],[Income]]&lt;=20000,"Low Income",IF(Sales_Data[[#This Row],[Income]]&lt;=40000,"Lower Middle",IF(Sales_Data[[#This Row],[Income]]&lt;=60000,"Middle Income",IF(Sales_Data[[#This Row],[Income]]&lt;=80000,"Upper Middle","High Income"))))</f>
        <v>Lower Middle</v>
      </c>
      <c r="F548">
        <v>1</v>
      </c>
      <c r="G548" t="s">
        <v>19</v>
      </c>
      <c r="H548" t="s">
        <v>20</v>
      </c>
      <c r="I548" t="s">
        <v>21</v>
      </c>
      <c r="J548">
        <v>1</v>
      </c>
      <c r="K548" t="s">
        <v>22</v>
      </c>
      <c r="L548" t="s">
        <v>23</v>
      </c>
      <c r="M548">
        <v>89</v>
      </c>
      <c r="N548" t="s">
        <v>24</v>
      </c>
      <c r="O548" t="s">
        <v>34</v>
      </c>
      <c r="P548" s="2">
        <v>8666.92</v>
      </c>
      <c r="Q548" t="s">
        <v>44</v>
      </c>
      <c r="R548" s="1">
        <v>44942</v>
      </c>
      <c r="S548" s="1"/>
    </row>
    <row r="549" spans="1:19" x14ac:dyDescent="0.3">
      <c r="A549">
        <v>20417</v>
      </c>
      <c r="B549" t="s">
        <v>17</v>
      </c>
      <c r="C549" t="s">
        <v>17</v>
      </c>
      <c r="D549">
        <v>30000</v>
      </c>
      <c r="E549" t="str">
        <f>IF(Sales_Data[[#This Row],[Income]]&lt;=20000,"Low Income",IF(Sales_Data[[#This Row],[Income]]&lt;=40000,"Lower Middle",IF(Sales_Data[[#This Row],[Income]]&lt;=60000,"Middle Income",IF(Sales_Data[[#This Row],[Income]]&lt;=80000,"Upper Middle","High Income"))))</f>
        <v>Lower Middle</v>
      </c>
      <c r="F549">
        <v>3</v>
      </c>
      <c r="G549" t="s">
        <v>27</v>
      </c>
      <c r="H549" t="s">
        <v>28</v>
      </c>
      <c r="I549" t="s">
        <v>32</v>
      </c>
      <c r="J549">
        <v>2</v>
      </c>
      <c r="K549" t="s">
        <v>36</v>
      </c>
      <c r="L549" t="s">
        <v>37</v>
      </c>
      <c r="M549">
        <v>56</v>
      </c>
      <c r="N549" t="s">
        <v>24</v>
      </c>
      <c r="O549" t="s">
        <v>29</v>
      </c>
      <c r="P549" s="2">
        <v>769.22</v>
      </c>
      <c r="Q549" t="s">
        <v>26</v>
      </c>
      <c r="R549" s="1">
        <v>45282</v>
      </c>
      <c r="S549" s="1"/>
    </row>
    <row r="550" spans="1:19" x14ac:dyDescent="0.3">
      <c r="A550">
        <v>22974</v>
      </c>
      <c r="B550" t="s">
        <v>17</v>
      </c>
      <c r="C550" t="s">
        <v>18</v>
      </c>
      <c r="D550">
        <v>30000</v>
      </c>
      <c r="E550" t="str">
        <f>IF(Sales_Data[[#This Row],[Income]]&lt;=20000,"Low Income",IF(Sales_Data[[#This Row],[Income]]&lt;=40000,"Lower Middle",IF(Sales_Data[[#This Row],[Income]]&lt;=60000,"Middle Income",IF(Sales_Data[[#This Row],[Income]]&lt;=80000,"Upper Middle","High Income"))))</f>
        <v>Lower Middle</v>
      </c>
      <c r="F550">
        <v>2</v>
      </c>
      <c r="G550" t="s">
        <v>27</v>
      </c>
      <c r="H550" t="s">
        <v>28</v>
      </c>
      <c r="I550" t="s">
        <v>21</v>
      </c>
      <c r="J550">
        <v>2</v>
      </c>
      <c r="K550" t="s">
        <v>36</v>
      </c>
      <c r="L550" t="s">
        <v>37</v>
      </c>
      <c r="M550">
        <v>69</v>
      </c>
      <c r="N550" t="s">
        <v>24</v>
      </c>
      <c r="O550" t="s">
        <v>49</v>
      </c>
      <c r="P550" s="2">
        <v>3012.08</v>
      </c>
      <c r="Q550" t="s">
        <v>26</v>
      </c>
      <c r="R550" s="1">
        <v>45261</v>
      </c>
      <c r="S550" s="1"/>
    </row>
    <row r="551" spans="1:19" x14ac:dyDescent="0.3">
      <c r="A551">
        <v>17978</v>
      </c>
      <c r="B551" t="s">
        <v>17</v>
      </c>
      <c r="C551" t="s">
        <v>17</v>
      </c>
      <c r="D551">
        <v>40000</v>
      </c>
      <c r="E551" t="str">
        <f>IF(Sales_Data[[#This Row],[Income]]&lt;=20000,"Low Income",IF(Sales_Data[[#This Row],[Income]]&lt;=40000,"Lower Middle",IF(Sales_Data[[#This Row],[Income]]&lt;=60000,"Middle Income",IF(Sales_Data[[#This Row],[Income]]&lt;=80000,"Upper Middle","High Income"))))</f>
        <v>Lower Middle</v>
      </c>
      <c r="F551">
        <v>0</v>
      </c>
      <c r="G551" t="s">
        <v>61</v>
      </c>
      <c r="H551" t="s">
        <v>28</v>
      </c>
      <c r="I551" t="s">
        <v>21</v>
      </c>
      <c r="J551">
        <v>0</v>
      </c>
      <c r="K551" t="s">
        <v>22</v>
      </c>
      <c r="L551" t="s">
        <v>23</v>
      </c>
      <c r="M551">
        <v>37</v>
      </c>
      <c r="N551" t="s">
        <v>38</v>
      </c>
      <c r="O551" t="s">
        <v>41</v>
      </c>
      <c r="P551" s="2">
        <v>9720.52</v>
      </c>
      <c r="Q551" t="s">
        <v>52</v>
      </c>
      <c r="R551" s="1">
        <v>44965</v>
      </c>
      <c r="S551" s="1"/>
    </row>
    <row r="552" spans="1:19" x14ac:dyDescent="0.3">
      <c r="A552">
        <v>18018</v>
      </c>
      <c r="B552" t="s">
        <v>35</v>
      </c>
      <c r="C552" t="s">
        <v>17</v>
      </c>
      <c r="D552">
        <v>30000</v>
      </c>
      <c r="E552" t="str">
        <f>IF(Sales_Data[[#This Row],[Income]]&lt;=20000,"Low Income",IF(Sales_Data[[#This Row],[Income]]&lt;=40000,"Lower Middle",IF(Sales_Data[[#This Row],[Income]]&lt;=60000,"Middle Income",IF(Sales_Data[[#This Row],[Income]]&lt;=80000,"Upper Middle","High Income"))))</f>
        <v>Lower Middle</v>
      </c>
      <c r="F552">
        <v>3</v>
      </c>
      <c r="G552" t="s">
        <v>27</v>
      </c>
      <c r="H552" t="s">
        <v>28</v>
      </c>
      <c r="I552" t="s">
        <v>21</v>
      </c>
      <c r="J552">
        <v>0</v>
      </c>
      <c r="K552" t="s">
        <v>22</v>
      </c>
      <c r="L552" t="s">
        <v>23</v>
      </c>
      <c r="M552">
        <v>43</v>
      </c>
      <c r="N552" t="s">
        <v>38</v>
      </c>
      <c r="O552" t="s">
        <v>41</v>
      </c>
      <c r="P552" s="2">
        <v>1225.1600000000001</v>
      </c>
      <c r="Q552" t="s">
        <v>40</v>
      </c>
      <c r="R552" s="1">
        <v>45047</v>
      </c>
      <c r="S552" s="1"/>
    </row>
    <row r="553" spans="1:19" x14ac:dyDescent="0.3">
      <c r="A553">
        <v>12568</v>
      </c>
      <c r="B553" t="s">
        <v>17</v>
      </c>
      <c r="C553" t="s">
        <v>18</v>
      </c>
      <c r="D553">
        <v>30000</v>
      </c>
      <c r="E553" t="str">
        <f>IF(Sales_Data[[#This Row],[Income]]&lt;=20000,"Low Income",IF(Sales_Data[[#This Row],[Income]]&lt;=40000,"Lower Middle",IF(Sales_Data[[#This Row],[Income]]&lt;=60000,"Middle Income",IF(Sales_Data[[#This Row],[Income]]&lt;=80000,"Upper Middle","High Income"))))</f>
        <v>Lower Middle</v>
      </c>
      <c r="F553">
        <v>1</v>
      </c>
      <c r="G553" t="s">
        <v>19</v>
      </c>
      <c r="H553" t="s">
        <v>28</v>
      </c>
      <c r="I553" t="s">
        <v>21</v>
      </c>
      <c r="J553">
        <v>0</v>
      </c>
      <c r="K553" t="s">
        <v>22</v>
      </c>
      <c r="L553" t="s">
        <v>23</v>
      </c>
      <c r="M553">
        <v>64</v>
      </c>
      <c r="N553" t="s">
        <v>24</v>
      </c>
      <c r="O553" t="s">
        <v>29</v>
      </c>
      <c r="P553" s="2">
        <v>2226.1</v>
      </c>
      <c r="Q553" t="s">
        <v>44</v>
      </c>
      <c r="R553" s="1">
        <v>44944</v>
      </c>
      <c r="S553" s="1"/>
    </row>
    <row r="554" spans="1:19" x14ac:dyDescent="0.3">
      <c r="A554">
        <v>17793</v>
      </c>
      <c r="B554" t="s">
        <v>17</v>
      </c>
      <c r="C554" t="s">
        <v>18</v>
      </c>
      <c r="D554">
        <v>40000</v>
      </c>
      <c r="E554" t="str">
        <f>IF(Sales_Data[[#This Row],[Income]]&lt;=20000,"Low Income",IF(Sales_Data[[#This Row],[Income]]&lt;=40000,"Lower Middle",IF(Sales_Data[[#This Row],[Income]]&lt;=60000,"Middle Income",IF(Sales_Data[[#This Row],[Income]]&lt;=80000,"Upper Middle","High Income"))))</f>
        <v>Lower Middle</v>
      </c>
      <c r="F554">
        <v>0</v>
      </c>
      <c r="G554" t="s">
        <v>19</v>
      </c>
      <c r="H554" t="s">
        <v>28</v>
      </c>
      <c r="I554" t="s">
        <v>21</v>
      </c>
      <c r="J554">
        <v>0</v>
      </c>
      <c r="K554" t="s">
        <v>22</v>
      </c>
      <c r="L554" t="s">
        <v>23</v>
      </c>
      <c r="M554">
        <v>38</v>
      </c>
      <c r="N554" t="s">
        <v>24</v>
      </c>
      <c r="O554" t="s">
        <v>25</v>
      </c>
      <c r="P554" s="2">
        <v>7144.33</v>
      </c>
      <c r="Q554" t="s">
        <v>58</v>
      </c>
      <c r="R554" s="1">
        <v>45134</v>
      </c>
      <c r="S554" s="1"/>
    </row>
    <row r="555" spans="1:19" x14ac:dyDescent="0.3">
      <c r="A555">
        <v>14926</v>
      </c>
      <c r="B555" t="s">
        <v>17</v>
      </c>
      <c r="C555" t="s">
        <v>17</v>
      </c>
      <c r="D555">
        <v>30000</v>
      </c>
      <c r="E555" t="str">
        <f>IF(Sales_Data[[#This Row],[Income]]&lt;=20000,"Low Income",IF(Sales_Data[[#This Row],[Income]]&lt;=40000,"Lower Middle",IF(Sales_Data[[#This Row],[Income]]&lt;=60000,"Middle Income",IF(Sales_Data[[#This Row],[Income]]&lt;=80000,"Upper Middle","High Income"))))</f>
        <v>Lower Middle</v>
      </c>
      <c r="F555">
        <v>1</v>
      </c>
      <c r="G555" t="s">
        <v>19</v>
      </c>
      <c r="H555" t="s">
        <v>28</v>
      </c>
      <c r="I555" t="s">
        <v>21</v>
      </c>
      <c r="J555">
        <v>0</v>
      </c>
      <c r="K555" t="s">
        <v>22</v>
      </c>
      <c r="L555" t="s">
        <v>23</v>
      </c>
      <c r="M555">
        <v>38</v>
      </c>
      <c r="N555" t="s">
        <v>24</v>
      </c>
      <c r="O555" t="s">
        <v>25</v>
      </c>
      <c r="P555" s="2">
        <v>5737.17</v>
      </c>
      <c r="Q555" t="s">
        <v>44</v>
      </c>
      <c r="R555" s="1">
        <v>44934</v>
      </c>
      <c r="S555" s="1"/>
    </row>
    <row r="556" spans="1:19" x14ac:dyDescent="0.3">
      <c r="A556">
        <v>27771</v>
      </c>
      <c r="B556" t="s">
        <v>35</v>
      </c>
      <c r="C556" t="s">
        <v>17</v>
      </c>
      <c r="D556">
        <v>30000</v>
      </c>
      <c r="E556" t="str">
        <f>IF(Sales_Data[[#This Row],[Income]]&lt;=20000,"Low Income",IF(Sales_Data[[#This Row],[Income]]&lt;=40000,"Lower Middle",IF(Sales_Data[[#This Row],[Income]]&lt;=60000,"Middle Income",IF(Sales_Data[[#This Row],[Income]]&lt;=80000,"Upper Middle","High Income"))))</f>
        <v>Lower Middle</v>
      </c>
      <c r="F556">
        <v>1</v>
      </c>
      <c r="G556" t="s">
        <v>19</v>
      </c>
      <c r="H556" t="s">
        <v>28</v>
      </c>
      <c r="I556" t="s">
        <v>21</v>
      </c>
      <c r="J556">
        <v>1</v>
      </c>
      <c r="K556" t="s">
        <v>43</v>
      </c>
      <c r="L556" t="s">
        <v>23</v>
      </c>
      <c r="M556">
        <v>39</v>
      </c>
      <c r="N556" t="s">
        <v>24</v>
      </c>
      <c r="O556" t="s">
        <v>55</v>
      </c>
      <c r="P556" s="2">
        <v>4265.3900000000003</v>
      </c>
      <c r="Q556" t="s">
        <v>58</v>
      </c>
      <c r="R556" s="1">
        <v>45124</v>
      </c>
      <c r="S556" s="1"/>
    </row>
    <row r="557" spans="1:19" x14ac:dyDescent="0.3">
      <c r="A557">
        <v>26167</v>
      </c>
      <c r="B557" t="s">
        <v>35</v>
      </c>
      <c r="C557" t="s">
        <v>18</v>
      </c>
      <c r="D557">
        <v>40000</v>
      </c>
      <c r="E557" t="str">
        <f>IF(Sales_Data[[#This Row],[Income]]&lt;=20000,"Low Income",IF(Sales_Data[[#This Row],[Income]]&lt;=40000,"Lower Middle",IF(Sales_Data[[#This Row],[Income]]&lt;=60000,"Middle Income",IF(Sales_Data[[#This Row],[Income]]&lt;=80000,"Upper Middle","High Income"))))</f>
        <v>Lower Middle</v>
      </c>
      <c r="F557">
        <v>2</v>
      </c>
      <c r="G557" t="s">
        <v>19</v>
      </c>
      <c r="H557" t="s">
        <v>46</v>
      </c>
      <c r="I557" t="s">
        <v>32</v>
      </c>
      <c r="J557">
        <v>1</v>
      </c>
      <c r="K557" t="s">
        <v>36</v>
      </c>
      <c r="L557" t="s">
        <v>37</v>
      </c>
      <c r="M557">
        <v>53</v>
      </c>
      <c r="N557" t="s">
        <v>24</v>
      </c>
      <c r="O557" t="s">
        <v>29</v>
      </c>
      <c r="P557" s="2">
        <v>9659.2099999999991</v>
      </c>
      <c r="Q557" t="s">
        <v>48</v>
      </c>
      <c r="R557" s="1">
        <v>45140</v>
      </c>
      <c r="S557" s="1"/>
    </row>
    <row r="558" spans="1:19" x14ac:dyDescent="0.3">
      <c r="A558">
        <v>11555</v>
      </c>
      <c r="B558" t="s">
        <v>17</v>
      </c>
      <c r="C558" t="s">
        <v>18</v>
      </c>
      <c r="D558">
        <v>40000</v>
      </c>
      <c r="E558" t="str">
        <f>IF(Sales_Data[[#This Row],[Income]]&lt;=20000,"Low Income",IF(Sales_Data[[#This Row],[Income]]&lt;=40000,"Lower Middle",IF(Sales_Data[[#This Row],[Income]]&lt;=60000,"Middle Income",IF(Sales_Data[[#This Row],[Income]]&lt;=80000,"Upper Middle","High Income"))))</f>
        <v>Lower Middle</v>
      </c>
      <c r="F558">
        <v>1</v>
      </c>
      <c r="G558" t="s">
        <v>19</v>
      </c>
      <c r="H558" t="s">
        <v>28</v>
      </c>
      <c r="I558" t="s">
        <v>21</v>
      </c>
      <c r="J558">
        <v>0</v>
      </c>
      <c r="K558" t="s">
        <v>22</v>
      </c>
      <c r="L558" t="s">
        <v>23</v>
      </c>
      <c r="M558">
        <v>80</v>
      </c>
      <c r="N558" t="s">
        <v>24</v>
      </c>
      <c r="O558" t="s">
        <v>34</v>
      </c>
      <c r="P558" s="2">
        <v>2960</v>
      </c>
      <c r="Q558" t="s">
        <v>48</v>
      </c>
      <c r="R558" s="1">
        <v>45156</v>
      </c>
      <c r="S558" s="1"/>
    </row>
    <row r="559" spans="1:19" x14ac:dyDescent="0.3">
      <c r="A559">
        <v>22174</v>
      </c>
      <c r="B559" t="s">
        <v>17</v>
      </c>
      <c r="C559" t="s">
        <v>17</v>
      </c>
      <c r="D559">
        <v>30000</v>
      </c>
      <c r="E559" t="str">
        <f>IF(Sales_Data[[#This Row],[Income]]&lt;=20000,"Low Income",IF(Sales_Data[[#This Row],[Income]]&lt;=40000,"Lower Middle",IF(Sales_Data[[#This Row],[Income]]&lt;=60000,"Middle Income",IF(Sales_Data[[#This Row],[Income]]&lt;=80000,"Upper Middle","High Income"))))</f>
        <v>Lower Middle</v>
      </c>
      <c r="F559">
        <v>3</v>
      </c>
      <c r="G559" t="s">
        <v>45</v>
      </c>
      <c r="H559" t="s">
        <v>20</v>
      </c>
      <c r="I559" t="s">
        <v>21</v>
      </c>
      <c r="J559">
        <v>2</v>
      </c>
      <c r="K559" t="s">
        <v>36</v>
      </c>
      <c r="L559" t="s">
        <v>37</v>
      </c>
      <c r="M559">
        <v>54</v>
      </c>
      <c r="N559" t="s">
        <v>24</v>
      </c>
      <c r="O559" t="s">
        <v>55</v>
      </c>
      <c r="P559" s="2">
        <v>3939.5</v>
      </c>
      <c r="Q559" t="s">
        <v>44</v>
      </c>
      <c r="R559" s="1">
        <v>44944</v>
      </c>
      <c r="S559" s="1"/>
    </row>
    <row r="560" spans="1:19" x14ac:dyDescent="0.3">
      <c r="A560">
        <v>22439</v>
      </c>
      <c r="B560" t="s">
        <v>17</v>
      </c>
      <c r="C560" t="s">
        <v>18</v>
      </c>
      <c r="D560">
        <v>30000</v>
      </c>
      <c r="E560" t="str">
        <f>IF(Sales_Data[[#This Row],[Income]]&lt;=20000,"Low Income",IF(Sales_Data[[#This Row],[Income]]&lt;=40000,"Lower Middle",IF(Sales_Data[[#This Row],[Income]]&lt;=60000,"Middle Income",IF(Sales_Data[[#This Row],[Income]]&lt;=80000,"Upper Middle","High Income"))))</f>
        <v>Lower Middle</v>
      </c>
      <c r="F560">
        <v>0</v>
      </c>
      <c r="G560" t="s">
        <v>19</v>
      </c>
      <c r="H560" t="s">
        <v>28</v>
      </c>
      <c r="I560" t="s">
        <v>21</v>
      </c>
      <c r="J560">
        <v>0</v>
      </c>
      <c r="K560" t="s">
        <v>22</v>
      </c>
      <c r="L560" t="s">
        <v>23</v>
      </c>
      <c r="M560">
        <v>37</v>
      </c>
      <c r="N560" t="s">
        <v>24</v>
      </c>
      <c r="O560" t="s">
        <v>49</v>
      </c>
      <c r="P560" s="2">
        <v>2443.64</v>
      </c>
      <c r="Q560" t="s">
        <v>26</v>
      </c>
      <c r="R560" s="1">
        <v>45287</v>
      </c>
      <c r="S560" s="1"/>
    </row>
    <row r="561" spans="1:19" x14ac:dyDescent="0.3">
      <c r="A561">
        <v>18012</v>
      </c>
      <c r="B561" t="s">
        <v>17</v>
      </c>
      <c r="C561" t="s">
        <v>18</v>
      </c>
      <c r="D561">
        <v>40000</v>
      </c>
      <c r="E561" t="str">
        <f>IF(Sales_Data[[#This Row],[Income]]&lt;=20000,"Low Income",IF(Sales_Data[[#This Row],[Income]]&lt;=40000,"Lower Middle",IF(Sales_Data[[#This Row],[Income]]&lt;=60000,"Middle Income",IF(Sales_Data[[#This Row],[Income]]&lt;=80000,"Upper Middle","High Income"))))</f>
        <v>Lower Middle</v>
      </c>
      <c r="F561">
        <v>1</v>
      </c>
      <c r="G561" t="s">
        <v>19</v>
      </c>
      <c r="H561" t="s">
        <v>20</v>
      </c>
      <c r="I561" t="s">
        <v>21</v>
      </c>
      <c r="J561">
        <v>0</v>
      </c>
      <c r="K561" t="s">
        <v>22</v>
      </c>
      <c r="L561" t="s">
        <v>23</v>
      </c>
      <c r="M561">
        <v>41</v>
      </c>
      <c r="N561" t="s">
        <v>24</v>
      </c>
      <c r="O561" t="s">
        <v>34</v>
      </c>
      <c r="P561" s="2">
        <v>6001.92</v>
      </c>
      <c r="Q561" t="s">
        <v>26</v>
      </c>
      <c r="R561" s="1">
        <v>45266</v>
      </c>
      <c r="S561" s="1"/>
    </row>
    <row r="562" spans="1:19" x14ac:dyDescent="0.3">
      <c r="A562">
        <v>12744</v>
      </c>
      <c r="B562" t="s">
        <v>35</v>
      </c>
      <c r="C562" t="s">
        <v>18</v>
      </c>
      <c r="D562">
        <v>40000</v>
      </c>
      <c r="E562" t="str">
        <f>IF(Sales_Data[[#This Row],[Income]]&lt;=20000,"Low Income",IF(Sales_Data[[#This Row],[Income]]&lt;=40000,"Lower Middle",IF(Sales_Data[[#This Row],[Income]]&lt;=60000,"Middle Income",IF(Sales_Data[[#This Row],[Income]]&lt;=80000,"Upper Middle","High Income"))))</f>
        <v>Lower Middle</v>
      </c>
      <c r="F562">
        <v>2</v>
      </c>
      <c r="G562" t="s">
        <v>27</v>
      </c>
      <c r="H562" t="s">
        <v>28</v>
      </c>
      <c r="I562" t="s">
        <v>21</v>
      </c>
      <c r="J562">
        <v>0</v>
      </c>
      <c r="K562" t="s">
        <v>22</v>
      </c>
      <c r="L562" t="s">
        <v>23</v>
      </c>
      <c r="M562">
        <v>33</v>
      </c>
      <c r="N562" t="s">
        <v>38</v>
      </c>
      <c r="O562" t="s">
        <v>39</v>
      </c>
      <c r="P562" s="2">
        <v>928.08</v>
      </c>
      <c r="Q562" t="s">
        <v>59</v>
      </c>
      <c r="R562" s="1">
        <v>45029</v>
      </c>
      <c r="S562" s="1"/>
    </row>
    <row r="563" spans="1:19" x14ac:dyDescent="0.3">
      <c r="A563">
        <v>20053</v>
      </c>
      <c r="B563" t="s">
        <v>35</v>
      </c>
      <c r="C563" t="s">
        <v>17</v>
      </c>
      <c r="D563">
        <v>40000</v>
      </c>
      <c r="E563" t="str">
        <f>IF(Sales_Data[[#This Row],[Income]]&lt;=20000,"Low Income",IF(Sales_Data[[#This Row],[Income]]&lt;=40000,"Lower Middle",IF(Sales_Data[[#This Row],[Income]]&lt;=60000,"Middle Income",IF(Sales_Data[[#This Row],[Income]]&lt;=80000,"Upper Middle","High Income"))))</f>
        <v>Lower Middle</v>
      </c>
      <c r="F563">
        <v>2</v>
      </c>
      <c r="G563" t="s">
        <v>27</v>
      </c>
      <c r="H563" t="s">
        <v>28</v>
      </c>
      <c r="I563" t="s">
        <v>21</v>
      </c>
      <c r="J563">
        <v>0</v>
      </c>
      <c r="K563" t="s">
        <v>22</v>
      </c>
      <c r="L563" t="s">
        <v>23</v>
      </c>
      <c r="M563">
        <v>34</v>
      </c>
      <c r="N563" t="s">
        <v>38</v>
      </c>
      <c r="O563" t="s">
        <v>62</v>
      </c>
      <c r="P563" s="2">
        <v>7929.95</v>
      </c>
      <c r="Q563" t="s">
        <v>40</v>
      </c>
      <c r="R563" s="1">
        <v>45058</v>
      </c>
      <c r="S563" s="1"/>
    </row>
    <row r="564" spans="1:19" x14ac:dyDescent="0.3">
      <c r="A564">
        <v>25266</v>
      </c>
      <c r="B564" t="s">
        <v>35</v>
      </c>
      <c r="C564" t="s">
        <v>18</v>
      </c>
      <c r="D564">
        <v>30000</v>
      </c>
      <c r="E564" t="str">
        <f>IF(Sales_Data[[#This Row],[Income]]&lt;=20000,"Low Income",IF(Sales_Data[[#This Row],[Income]]&lt;=40000,"Lower Middle",IF(Sales_Data[[#This Row],[Income]]&lt;=60000,"Middle Income",IF(Sales_Data[[#This Row],[Income]]&lt;=80000,"Upper Middle","High Income"))))</f>
        <v>Lower Middle</v>
      </c>
      <c r="F564">
        <v>2</v>
      </c>
      <c r="G564" t="s">
        <v>27</v>
      </c>
      <c r="H564" t="s">
        <v>28</v>
      </c>
      <c r="I564" t="s">
        <v>32</v>
      </c>
      <c r="J564">
        <v>2</v>
      </c>
      <c r="K564" t="s">
        <v>36</v>
      </c>
      <c r="L564" t="s">
        <v>37</v>
      </c>
      <c r="M564">
        <v>67</v>
      </c>
      <c r="N564" t="s">
        <v>38</v>
      </c>
      <c r="O564" t="s">
        <v>62</v>
      </c>
      <c r="P564" s="2">
        <v>1599.78</v>
      </c>
      <c r="Q564" t="s">
        <v>52</v>
      </c>
      <c r="R564" s="1">
        <v>44971</v>
      </c>
      <c r="S564" s="1"/>
    </row>
    <row r="565" spans="1:19" x14ac:dyDescent="0.3">
      <c r="A565">
        <v>17960</v>
      </c>
      <c r="B565" t="s">
        <v>17</v>
      </c>
      <c r="C565" t="s">
        <v>18</v>
      </c>
      <c r="D565">
        <v>40000</v>
      </c>
      <c r="E565" t="str">
        <f>IF(Sales_Data[[#This Row],[Income]]&lt;=20000,"Low Income",IF(Sales_Data[[#This Row],[Income]]&lt;=40000,"Lower Middle",IF(Sales_Data[[#This Row],[Income]]&lt;=60000,"Middle Income",IF(Sales_Data[[#This Row],[Income]]&lt;=80000,"Upper Middle","High Income"))))</f>
        <v>Lower Middle</v>
      </c>
      <c r="F565">
        <v>0</v>
      </c>
      <c r="G565" t="s">
        <v>61</v>
      </c>
      <c r="H565" t="s">
        <v>28</v>
      </c>
      <c r="I565" t="s">
        <v>21</v>
      </c>
      <c r="J565">
        <v>0</v>
      </c>
      <c r="K565" t="s">
        <v>22</v>
      </c>
      <c r="L565" t="s">
        <v>23</v>
      </c>
      <c r="M565">
        <v>35</v>
      </c>
      <c r="N565" t="s">
        <v>38</v>
      </c>
      <c r="O565" t="s">
        <v>62</v>
      </c>
      <c r="P565" s="2">
        <v>7797.19</v>
      </c>
      <c r="Q565" t="s">
        <v>58</v>
      </c>
      <c r="R565" s="1">
        <v>45135</v>
      </c>
      <c r="S565" s="1"/>
    </row>
    <row r="566" spans="1:19" x14ac:dyDescent="0.3">
      <c r="A566">
        <v>11139</v>
      </c>
      <c r="B566" t="s">
        <v>35</v>
      </c>
      <c r="C566" t="s">
        <v>18</v>
      </c>
      <c r="D566">
        <v>30000</v>
      </c>
      <c r="E566" t="str">
        <f>IF(Sales_Data[[#This Row],[Income]]&lt;=20000,"Low Income",IF(Sales_Data[[#This Row],[Income]]&lt;=40000,"Lower Middle",IF(Sales_Data[[#This Row],[Income]]&lt;=60000,"Middle Income",IF(Sales_Data[[#This Row],[Income]]&lt;=80000,"Upper Middle","High Income"))))</f>
        <v>Lower Middle</v>
      </c>
      <c r="F566">
        <v>2</v>
      </c>
      <c r="G566" t="s">
        <v>27</v>
      </c>
      <c r="H566" t="s">
        <v>28</v>
      </c>
      <c r="I566" t="s">
        <v>32</v>
      </c>
      <c r="J566">
        <v>2</v>
      </c>
      <c r="K566" t="s">
        <v>36</v>
      </c>
      <c r="L566" t="s">
        <v>37</v>
      </c>
      <c r="M566">
        <v>67</v>
      </c>
      <c r="N566" t="s">
        <v>38</v>
      </c>
      <c r="O566" t="s">
        <v>47</v>
      </c>
      <c r="P566" s="2">
        <v>9669.3700000000008</v>
      </c>
      <c r="Q566" t="s">
        <v>59</v>
      </c>
      <c r="R566" s="1">
        <v>45018</v>
      </c>
      <c r="S566" s="1"/>
    </row>
    <row r="567" spans="1:19" x14ac:dyDescent="0.3">
      <c r="A567">
        <v>11576</v>
      </c>
      <c r="B567" t="s">
        <v>17</v>
      </c>
      <c r="C567" t="s">
        <v>17</v>
      </c>
      <c r="D567">
        <v>30000</v>
      </c>
      <c r="E567" t="str">
        <f>IF(Sales_Data[[#This Row],[Income]]&lt;=20000,"Low Income",IF(Sales_Data[[#This Row],[Income]]&lt;=40000,"Lower Middle",IF(Sales_Data[[#This Row],[Income]]&lt;=60000,"Middle Income",IF(Sales_Data[[#This Row],[Income]]&lt;=80000,"Upper Middle","High Income"))))</f>
        <v>Lower Middle</v>
      </c>
      <c r="F567">
        <v>1</v>
      </c>
      <c r="G567" t="s">
        <v>19</v>
      </c>
      <c r="H567" t="s">
        <v>20</v>
      </c>
      <c r="I567" t="s">
        <v>21</v>
      </c>
      <c r="J567">
        <v>2</v>
      </c>
      <c r="K567" t="s">
        <v>22</v>
      </c>
      <c r="L567" t="s">
        <v>23</v>
      </c>
      <c r="M567">
        <v>41</v>
      </c>
      <c r="N567" t="s">
        <v>38</v>
      </c>
      <c r="O567" t="s">
        <v>39</v>
      </c>
      <c r="P567" s="2">
        <v>3558.84</v>
      </c>
      <c r="Q567" t="s">
        <v>26</v>
      </c>
      <c r="R567" s="1">
        <v>45291</v>
      </c>
      <c r="S567" s="1"/>
    </row>
    <row r="568" spans="1:19" x14ac:dyDescent="0.3">
      <c r="A568">
        <v>27169</v>
      </c>
      <c r="B568" t="s">
        <v>35</v>
      </c>
      <c r="C568" t="s">
        <v>17</v>
      </c>
      <c r="D568">
        <v>30000</v>
      </c>
      <c r="E568" t="str">
        <f>IF(Sales_Data[[#This Row],[Income]]&lt;=20000,"Low Income",IF(Sales_Data[[#This Row],[Income]]&lt;=40000,"Lower Middle",IF(Sales_Data[[#This Row],[Income]]&lt;=60000,"Middle Income",IF(Sales_Data[[#This Row],[Income]]&lt;=80000,"Upper Middle","High Income"))))</f>
        <v>Lower Middle</v>
      </c>
      <c r="F568">
        <v>0</v>
      </c>
      <c r="G568" t="s">
        <v>45</v>
      </c>
      <c r="H568" t="s">
        <v>42</v>
      </c>
      <c r="I568" t="s">
        <v>21</v>
      </c>
      <c r="J568">
        <v>1</v>
      </c>
      <c r="K568" t="s">
        <v>33</v>
      </c>
      <c r="L568" t="s">
        <v>23</v>
      </c>
      <c r="M568">
        <v>34</v>
      </c>
      <c r="N568" t="s">
        <v>38</v>
      </c>
      <c r="O568" t="s">
        <v>41</v>
      </c>
      <c r="P568" s="2">
        <v>6778.95</v>
      </c>
      <c r="Q568" t="s">
        <v>40</v>
      </c>
      <c r="R568" s="1">
        <v>45059</v>
      </c>
      <c r="S568" s="1"/>
    </row>
    <row r="569" spans="1:19" x14ac:dyDescent="0.3">
      <c r="A569">
        <v>15822</v>
      </c>
      <c r="B569" t="s">
        <v>17</v>
      </c>
      <c r="C569" t="s">
        <v>17</v>
      </c>
      <c r="D569">
        <v>40000</v>
      </c>
      <c r="E569" t="str">
        <f>IF(Sales_Data[[#This Row],[Income]]&lt;=20000,"Low Income",IF(Sales_Data[[#This Row],[Income]]&lt;=40000,"Lower Middle",IF(Sales_Data[[#This Row],[Income]]&lt;=60000,"Middle Income",IF(Sales_Data[[#This Row],[Income]]&lt;=80000,"Upper Middle","High Income"))))</f>
        <v>Lower Middle</v>
      </c>
      <c r="F569">
        <v>2</v>
      </c>
      <c r="G569" t="s">
        <v>19</v>
      </c>
      <c r="H569" t="s">
        <v>46</v>
      </c>
      <c r="I569" t="s">
        <v>21</v>
      </c>
      <c r="J569">
        <v>2</v>
      </c>
      <c r="K569" t="s">
        <v>22</v>
      </c>
      <c r="L569" t="s">
        <v>37</v>
      </c>
      <c r="M569">
        <v>67</v>
      </c>
      <c r="N569" t="s">
        <v>24</v>
      </c>
      <c r="O569" t="s">
        <v>34</v>
      </c>
      <c r="P569" s="2">
        <v>5764.75</v>
      </c>
      <c r="Q569" t="s">
        <v>52</v>
      </c>
      <c r="R569" s="1">
        <v>44959</v>
      </c>
      <c r="S569" s="1"/>
    </row>
    <row r="570" spans="1:19" x14ac:dyDescent="0.3">
      <c r="A570">
        <v>19389</v>
      </c>
      <c r="B570" t="s">
        <v>35</v>
      </c>
      <c r="C570" t="s">
        <v>17</v>
      </c>
      <c r="D570">
        <v>30000</v>
      </c>
      <c r="E570" t="str">
        <f>IF(Sales_Data[[#This Row],[Income]]&lt;=20000,"Low Income",IF(Sales_Data[[#This Row],[Income]]&lt;=40000,"Lower Middle",IF(Sales_Data[[#This Row],[Income]]&lt;=60000,"Middle Income",IF(Sales_Data[[#This Row],[Income]]&lt;=80000,"Upper Middle","High Income"))))</f>
        <v>Lower Middle</v>
      </c>
      <c r="F570">
        <v>0</v>
      </c>
      <c r="G570" t="s">
        <v>27</v>
      </c>
      <c r="H570" t="s">
        <v>28</v>
      </c>
      <c r="I570" t="s">
        <v>32</v>
      </c>
      <c r="J570">
        <v>1</v>
      </c>
      <c r="K570" t="s">
        <v>33</v>
      </c>
      <c r="L570" t="s">
        <v>23</v>
      </c>
      <c r="M570">
        <v>28</v>
      </c>
      <c r="N570" t="s">
        <v>38</v>
      </c>
      <c r="O570" t="s">
        <v>54</v>
      </c>
      <c r="P570" s="2">
        <v>8750.82</v>
      </c>
      <c r="Q570" t="s">
        <v>52</v>
      </c>
      <c r="R570" s="1">
        <v>44964</v>
      </c>
      <c r="S570" s="1"/>
    </row>
    <row r="571" spans="1:19" x14ac:dyDescent="0.3">
      <c r="A571">
        <v>12718</v>
      </c>
      <c r="B571" t="s">
        <v>35</v>
      </c>
      <c r="C571" t="s">
        <v>18</v>
      </c>
      <c r="D571">
        <v>30000</v>
      </c>
      <c r="E571" t="str">
        <f>IF(Sales_Data[[#This Row],[Income]]&lt;=20000,"Low Income",IF(Sales_Data[[#This Row],[Income]]&lt;=40000,"Lower Middle",IF(Sales_Data[[#This Row],[Income]]&lt;=60000,"Middle Income",IF(Sales_Data[[#This Row],[Income]]&lt;=80000,"Upper Middle","High Income"))))</f>
        <v>Lower Middle</v>
      </c>
      <c r="F571">
        <v>0</v>
      </c>
      <c r="G571" t="s">
        <v>27</v>
      </c>
      <c r="H571" t="s">
        <v>28</v>
      </c>
      <c r="I571" t="s">
        <v>21</v>
      </c>
      <c r="J571">
        <v>1</v>
      </c>
      <c r="K571" t="s">
        <v>33</v>
      </c>
      <c r="L571" t="s">
        <v>23</v>
      </c>
      <c r="M571">
        <v>31</v>
      </c>
      <c r="N571" t="s">
        <v>24</v>
      </c>
      <c r="O571" t="s">
        <v>34</v>
      </c>
      <c r="P571" s="2">
        <v>3961.46</v>
      </c>
      <c r="Q571" t="s">
        <v>40</v>
      </c>
      <c r="R571" s="1">
        <v>45052</v>
      </c>
      <c r="S571" s="1"/>
    </row>
    <row r="572" spans="1:19" x14ac:dyDescent="0.3">
      <c r="A572">
        <v>15019</v>
      </c>
      <c r="B572" t="s">
        <v>35</v>
      </c>
      <c r="C572" t="s">
        <v>18</v>
      </c>
      <c r="D572">
        <v>30000</v>
      </c>
      <c r="E572" t="str">
        <f>IF(Sales_Data[[#This Row],[Income]]&lt;=20000,"Low Income",IF(Sales_Data[[#This Row],[Income]]&lt;=40000,"Lower Middle",IF(Sales_Data[[#This Row],[Income]]&lt;=60000,"Middle Income",IF(Sales_Data[[#This Row],[Income]]&lt;=80000,"Upper Middle","High Income"))))</f>
        <v>Lower Middle</v>
      </c>
      <c r="F572">
        <v>3</v>
      </c>
      <c r="G572" t="s">
        <v>45</v>
      </c>
      <c r="H572" t="s">
        <v>20</v>
      </c>
      <c r="I572" t="s">
        <v>21</v>
      </c>
      <c r="J572">
        <v>2</v>
      </c>
      <c r="K572" t="s">
        <v>36</v>
      </c>
      <c r="L572" t="s">
        <v>37</v>
      </c>
      <c r="M572">
        <v>55</v>
      </c>
      <c r="N572" t="s">
        <v>38</v>
      </c>
      <c r="O572" t="s">
        <v>39</v>
      </c>
      <c r="P572" s="2">
        <v>4905.74</v>
      </c>
      <c r="Q572" t="s">
        <v>26</v>
      </c>
      <c r="R572" s="1">
        <v>45269</v>
      </c>
      <c r="S572" s="1"/>
    </row>
    <row r="573" spans="1:19" x14ac:dyDescent="0.3">
      <c r="A573">
        <v>27814</v>
      </c>
      <c r="B573" t="s">
        <v>35</v>
      </c>
      <c r="C573" t="s">
        <v>18</v>
      </c>
      <c r="D573">
        <v>30000</v>
      </c>
      <c r="E573" t="str">
        <f>IF(Sales_Data[[#This Row],[Income]]&lt;=20000,"Low Income",IF(Sales_Data[[#This Row],[Income]]&lt;=40000,"Lower Middle",IF(Sales_Data[[#This Row],[Income]]&lt;=60000,"Middle Income",IF(Sales_Data[[#This Row],[Income]]&lt;=80000,"Upper Middle","High Income"))))</f>
        <v>Lower Middle</v>
      </c>
      <c r="F573">
        <v>3</v>
      </c>
      <c r="G573" t="s">
        <v>27</v>
      </c>
      <c r="H573" t="s">
        <v>28</v>
      </c>
      <c r="I573" t="s">
        <v>32</v>
      </c>
      <c r="J573">
        <v>1</v>
      </c>
      <c r="K573" t="s">
        <v>22</v>
      </c>
      <c r="L573" t="s">
        <v>23</v>
      </c>
      <c r="M573">
        <v>26</v>
      </c>
      <c r="N573" t="s">
        <v>38</v>
      </c>
      <c r="O573" t="s">
        <v>62</v>
      </c>
      <c r="P573" s="2">
        <v>5244.49</v>
      </c>
      <c r="Q573" t="s">
        <v>56</v>
      </c>
      <c r="R573" s="1">
        <v>45188</v>
      </c>
      <c r="S573" s="1"/>
    </row>
    <row r="574" spans="1:19" x14ac:dyDescent="0.3">
      <c r="A574">
        <v>22175</v>
      </c>
      <c r="B574" t="s">
        <v>17</v>
      </c>
      <c r="C574" t="s">
        <v>18</v>
      </c>
      <c r="D574">
        <v>30000</v>
      </c>
      <c r="E574" t="str">
        <f>IF(Sales_Data[[#This Row],[Income]]&lt;=20000,"Low Income",IF(Sales_Data[[#This Row],[Income]]&lt;=40000,"Lower Middle",IF(Sales_Data[[#This Row],[Income]]&lt;=60000,"Middle Income",IF(Sales_Data[[#This Row],[Income]]&lt;=80000,"Upper Middle","High Income"))))</f>
        <v>Lower Middle</v>
      </c>
      <c r="F574">
        <v>3</v>
      </c>
      <c r="G574" t="s">
        <v>45</v>
      </c>
      <c r="H574" t="s">
        <v>20</v>
      </c>
      <c r="I574" t="s">
        <v>21</v>
      </c>
      <c r="J574">
        <v>2</v>
      </c>
      <c r="K574" t="s">
        <v>36</v>
      </c>
      <c r="L574" t="s">
        <v>37</v>
      </c>
      <c r="M574">
        <v>53</v>
      </c>
      <c r="N574" t="s">
        <v>24</v>
      </c>
      <c r="O574" t="s">
        <v>25</v>
      </c>
      <c r="P574" s="2">
        <v>5185.13</v>
      </c>
      <c r="Q574" t="s">
        <v>58</v>
      </c>
      <c r="R574" s="1">
        <v>45119</v>
      </c>
      <c r="S574" s="1"/>
    </row>
    <row r="575" spans="1:19" x14ac:dyDescent="0.3">
      <c r="A575">
        <v>27824</v>
      </c>
      <c r="B575" t="s">
        <v>35</v>
      </c>
      <c r="C575" t="s">
        <v>18</v>
      </c>
      <c r="D575">
        <v>30000</v>
      </c>
      <c r="E575" t="str">
        <f>IF(Sales_Data[[#This Row],[Income]]&lt;=20000,"Low Income",IF(Sales_Data[[#This Row],[Income]]&lt;=40000,"Lower Middle",IF(Sales_Data[[#This Row],[Income]]&lt;=60000,"Middle Income",IF(Sales_Data[[#This Row],[Income]]&lt;=80000,"Upper Middle","High Income"))))</f>
        <v>Lower Middle</v>
      </c>
      <c r="F575">
        <v>3</v>
      </c>
      <c r="G575" t="s">
        <v>27</v>
      </c>
      <c r="H575" t="s">
        <v>28</v>
      </c>
      <c r="I575" t="s">
        <v>21</v>
      </c>
      <c r="J575">
        <v>2</v>
      </c>
      <c r="K575" t="s">
        <v>22</v>
      </c>
      <c r="L575" t="s">
        <v>23</v>
      </c>
      <c r="M575">
        <v>28</v>
      </c>
      <c r="N575" t="s">
        <v>24</v>
      </c>
      <c r="O575" t="s">
        <v>34</v>
      </c>
      <c r="P575" s="2">
        <v>287.54000000000002</v>
      </c>
      <c r="Q575" t="s">
        <v>26</v>
      </c>
      <c r="R575" s="1">
        <v>45274</v>
      </c>
      <c r="S575" s="1"/>
    </row>
    <row r="576" spans="1:19" x14ac:dyDescent="0.3">
      <c r="A576">
        <v>21108</v>
      </c>
      <c r="B576" t="s">
        <v>17</v>
      </c>
      <c r="C576" t="s">
        <v>18</v>
      </c>
      <c r="D576">
        <v>40000</v>
      </c>
      <c r="E576" t="str">
        <f>IF(Sales_Data[[#This Row],[Income]]&lt;=20000,"Low Income",IF(Sales_Data[[#This Row],[Income]]&lt;=40000,"Lower Middle",IF(Sales_Data[[#This Row],[Income]]&lt;=60000,"Middle Income",IF(Sales_Data[[#This Row],[Income]]&lt;=80000,"Upper Middle","High Income"))))</f>
        <v>Lower Middle</v>
      </c>
      <c r="F576">
        <v>1</v>
      </c>
      <c r="G576" t="s">
        <v>19</v>
      </c>
      <c r="H576" t="s">
        <v>20</v>
      </c>
      <c r="I576" t="s">
        <v>21</v>
      </c>
      <c r="J576">
        <v>1</v>
      </c>
      <c r="K576" t="s">
        <v>22</v>
      </c>
      <c r="L576" t="s">
        <v>23</v>
      </c>
      <c r="M576">
        <v>43</v>
      </c>
      <c r="N576" t="s">
        <v>24</v>
      </c>
      <c r="O576" t="s">
        <v>34</v>
      </c>
      <c r="P576" s="2">
        <v>616.41999999999996</v>
      </c>
      <c r="Q576" t="s">
        <v>26</v>
      </c>
      <c r="R576" s="1">
        <v>45266</v>
      </c>
      <c r="S576" s="1"/>
    </row>
    <row r="577" spans="1:19" x14ac:dyDescent="0.3">
      <c r="A577">
        <v>12731</v>
      </c>
      <c r="B577" t="s">
        <v>35</v>
      </c>
      <c r="C577" t="s">
        <v>17</v>
      </c>
      <c r="D577">
        <v>30000</v>
      </c>
      <c r="E577" t="str">
        <f>IF(Sales_Data[[#This Row],[Income]]&lt;=20000,"Low Income",IF(Sales_Data[[#This Row],[Income]]&lt;=40000,"Lower Middle",IF(Sales_Data[[#This Row],[Income]]&lt;=60000,"Middle Income",IF(Sales_Data[[#This Row],[Income]]&lt;=80000,"Upper Middle","High Income"))))</f>
        <v>Lower Middle</v>
      </c>
      <c r="F577">
        <v>0</v>
      </c>
      <c r="G577" t="s">
        <v>45</v>
      </c>
      <c r="H577" t="s">
        <v>42</v>
      </c>
      <c r="I577" t="s">
        <v>32</v>
      </c>
      <c r="J577">
        <v>1</v>
      </c>
      <c r="K577" t="s">
        <v>43</v>
      </c>
      <c r="L577" t="s">
        <v>23</v>
      </c>
      <c r="M577">
        <v>32</v>
      </c>
      <c r="N577" t="s">
        <v>24</v>
      </c>
      <c r="O577" t="s">
        <v>55</v>
      </c>
      <c r="P577" s="2">
        <v>5879.07</v>
      </c>
      <c r="Q577" t="s">
        <v>30</v>
      </c>
      <c r="R577" s="1">
        <v>45002</v>
      </c>
      <c r="S577" s="1"/>
    </row>
    <row r="578" spans="1:19" x14ac:dyDescent="0.3">
      <c r="A578">
        <v>25307</v>
      </c>
      <c r="B578" t="s">
        <v>17</v>
      </c>
      <c r="C578" t="s">
        <v>18</v>
      </c>
      <c r="D578">
        <v>40000</v>
      </c>
      <c r="E578" t="str">
        <f>IF(Sales_Data[[#This Row],[Income]]&lt;=20000,"Low Income",IF(Sales_Data[[#This Row],[Income]]&lt;=40000,"Lower Middle",IF(Sales_Data[[#This Row],[Income]]&lt;=60000,"Middle Income",IF(Sales_Data[[#This Row],[Income]]&lt;=80000,"Upper Middle","High Income"))))</f>
        <v>Lower Middle</v>
      </c>
      <c r="F578">
        <v>1</v>
      </c>
      <c r="G578" t="s">
        <v>19</v>
      </c>
      <c r="H578" t="s">
        <v>20</v>
      </c>
      <c r="I578" t="s">
        <v>21</v>
      </c>
      <c r="J578">
        <v>1</v>
      </c>
      <c r="K578" t="s">
        <v>43</v>
      </c>
      <c r="L578" t="s">
        <v>23</v>
      </c>
      <c r="M578">
        <v>32</v>
      </c>
      <c r="N578" t="s">
        <v>24</v>
      </c>
      <c r="O578" t="s">
        <v>49</v>
      </c>
      <c r="P578" s="2">
        <v>9902.57</v>
      </c>
      <c r="Q578" t="s">
        <v>40</v>
      </c>
      <c r="R578" s="1">
        <v>45059</v>
      </c>
      <c r="S578" s="1"/>
    </row>
    <row r="579" spans="1:19" x14ac:dyDescent="0.3">
      <c r="A579">
        <v>20711</v>
      </c>
      <c r="B579" t="s">
        <v>17</v>
      </c>
      <c r="C579" t="s">
        <v>18</v>
      </c>
      <c r="D579">
        <v>40000</v>
      </c>
      <c r="E579" t="str">
        <f>IF(Sales_Data[[#This Row],[Income]]&lt;=20000,"Low Income",IF(Sales_Data[[#This Row],[Income]]&lt;=40000,"Lower Middle",IF(Sales_Data[[#This Row],[Income]]&lt;=60000,"Middle Income",IF(Sales_Data[[#This Row],[Income]]&lt;=80000,"Upper Middle","High Income"))))</f>
        <v>Lower Middle</v>
      </c>
      <c r="F579">
        <v>1</v>
      </c>
      <c r="G579" t="s">
        <v>19</v>
      </c>
      <c r="H579" t="s">
        <v>20</v>
      </c>
      <c r="I579" t="s">
        <v>21</v>
      </c>
      <c r="J579">
        <v>0</v>
      </c>
      <c r="K579" t="s">
        <v>43</v>
      </c>
      <c r="L579" t="s">
        <v>23</v>
      </c>
      <c r="M579">
        <v>32</v>
      </c>
      <c r="N579" t="s">
        <v>38</v>
      </c>
      <c r="O579" t="s">
        <v>41</v>
      </c>
      <c r="P579" s="2">
        <v>3839.35</v>
      </c>
      <c r="Q579" t="s">
        <v>48</v>
      </c>
      <c r="R579" s="1">
        <v>45163</v>
      </c>
      <c r="S579" s="1"/>
    </row>
    <row r="580" spans="1:19" x14ac:dyDescent="0.3">
      <c r="A580">
        <v>11383</v>
      </c>
      <c r="B580" t="s">
        <v>17</v>
      </c>
      <c r="C580" t="s">
        <v>18</v>
      </c>
      <c r="D580">
        <v>30000</v>
      </c>
      <c r="E580" t="str">
        <f>IF(Sales_Data[[#This Row],[Income]]&lt;=20000,"Low Income",IF(Sales_Data[[#This Row],[Income]]&lt;=40000,"Lower Middle",IF(Sales_Data[[#This Row],[Income]]&lt;=60000,"Middle Income",IF(Sales_Data[[#This Row],[Income]]&lt;=80000,"Upper Middle","High Income"))))</f>
        <v>Lower Middle</v>
      </c>
      <c r="F580">
        <v>3</v>
      </c>
      <c r="G580" t="s">
        <v>61</v>
      </c>
      <c r="H580" t="s">
        <v>28</v>
      </c>
      <c r="I580" t="s">
        <v>21</v>
      </c>
      <c r="J580">
        <v>0</v>
      </c>
      <c r="K580" t="s">
        <v>22</v>
      </c>
      <c r="L580" t="s">
        <v>23</v>
      </c>
      <c r="M580">
        <v>46</v>
      </c>
      <c r="N580" t="s">
        <v>24</v>
      </c>
      <c r="O580" t="s">
        <v>34</v>
      </c>
      <c r="P580" s="2">
        <v>9269.6299999999992</v>
      </c>
      <c r="Q580" t="s">
        <v>60</v>
      </c>
      <c r="R580" s="1">
        <v>45233</v>
      </c>
      <c r="S580" s="1"/>
    </row>
    <row r="581" spans="1:19" x14ac:dyDescent="0.3">
      <c r="A581">
        <v>12497</v>
      </c>
      <c r="B581" t="s">
        <v>17</v>
      </c>
      <c r="C581" t="s">
        <v>18</v>
      </c>
      <c r="D581">
        <v>40000</v>
      </c>
      <c r="E581" t="str">
        <f>IF(Sales_Data[[#This Row],[Income]]&lt;=20000,"Low Income",IF(Sales_Data[[#This Row],[Income]]&lt;=40000,"Lower Middle",IF(Sales_Data[[#This Row],[Income]]&lt;=60000,"Middle Income",IF(Sales_Data[[#This Row],[Income]]&lt;=80000,"Upper Middle","High Income"))))</f>
        <v>Lower Middle</v>
      </c>
      <c r="F581">
        <v>1</v>
      </c>
      <c r="G581" t="s">
        <v>19</v>
      </c>
      <c r="H581" t="s">
        <v>20</v>
      </c>
      <c r="I581" t="s">
        <v>21</v>
      </c>
      <c r="J581">
        <v>0</v>
      </c>
      <c r="K581" t="s">
        <v>22</v>
      </c>
      <c r="L581" t="s">
        <v>23</v>
      </c>
      <c r="M581">
        <v>42</v>
      </c>
      <c r="N581" t="s">
        <v>24</v>
      </c>
      <c r="O581" t="s">
        <v>29</v>
      </c>
      <c r="P581" s="2">
        <v>9435.91</v>
      </c>
      <c r="Q581" t="s">
        <v>44</v>
      </c>
      <c r="R581" s="1">
        <v>44930</v>
      </c>
      <c r="S581" s="1"/>
    </row>
    <row r="582" spans="1:19" x14ac:dyDescent="0.3">
      <c r="A582">
        <v>11585</v>
      </c>
      <c r="B582" t="s">
        <v>17</v>
      </c>
      <c r="C582" t="s">
        <v>18</v>
      </c>
      <c r="D582">
        <v>40000</v>
      </c>
      <c r="E582" t="str">
        <f>IF(Sales_Data[[#This Row],[Income]]&lt;=20000,"Low Income",IF(Sales_Data[[#This Row],[Income]]&lt;=40000,"Lower Middle",IF(Sales_Data[[#This Row],[Income]]&lt;=60000,"Middle Income",IF(Sales_Data[[#This Row],[Income]]&lt;=80000,"Upper Middle","High Income"))))</f>
        <v>Lower Middle</v>
      </c>
      <c r="F582">
        <v>1</v>
      </c>
      <c r="G582" t="s">
        <v>19</v>
      </c>
      <c r="H582" t="s">
        <v>20</v>
      </c>
      <c r="I582" t="s">
        <v>21</v>
      </c>
      <c r="J582">
        <v>0</v>
      </c>
      <c r="K582" t="s">
        <v>22</v>
      </c>
      <c r="L582" t="s">
        <v>23</v>
      </c>
      <c r="M582">
        <v>41</v>
      </c>
      <c r="N582" t="s">
        <v>24</v>
      </c>
      <c r="O582" t="s">
        <v>25</v>
      </c>
      <c r="P582" s="2">
        <v>7288.65</v>
      </c>
      <c r="Q582" t="s">
        <v>51</v>
      </c>
      <c r="R582" s="1">
        <v>45104</v>
      </c>
      <c r="S582" s="1"/>
    </row>
    <row r="583" spans="1:19" x14ac:dyDescent="0.3">
      <c r="A583">
        <v>20277</v>
      </c>
      <c r="B583" t="s">
        <v>17</v>
      </c>
      <c r="C583" t="s">
        <v>18</v>
      </c>
      <c r="D583">
        <v>30000</v>
      </c>
      <c r="E583" t="str">
        <f>IF(Sales_Data[[#This Row],[Income]]&lt;=20000,"Low Income",IF(Sales_Data[[#This Row],[Income]]&lt;=40000,"Lower Middle",IF(Sales_Data[[#This Row],[Income]]&lt;=60000,"Middle Income",IF(Sales_Data[[#This Row],[Income]]&lt;=80000,"Upper Middle","High Income"))))</f>
        <v>Lower Middle</v>
      </c>
      <c r="F583">
        <v>2</v>
      </c>
      <c r="G583" t="s">
        <v>27</v>
      </c>
      <c r="H583" t="s">
        <v>28</v>
      </c>
      <c r="I583" t="s">
        <v>32</v>
      </c>
      <c r="J583">
        <v>2</v>
      </c>
      <c r="K583" t="s">
        <v>22</v>
      </c>
      <c r="L583" t="s">
        <v>37</v>
      </c>
      <c r="M583">
        <v>69</v>
      </c>
      <c r="N583" t="s">
        <v>24</v>
      </c>
      <c r="O583" t="s">
        <v>29</v>
      </c>
      <c r="P583" s="2">
        <v>9812.07</v>
      </c>
      <c r="Q583" t="s">
        <v>26</v>
      </c>
      <c r="R583" s="1">
        <v>45277</v>
      </c>
      <c r="S583" s="1"/>
    </row>
    <row r="584" spans="1:19" x14ac:dyDescent="0.3">
      <c r="A584">
        <v>12389</v>
      </c>
      <c r="B584" t="s">
        <v>35</v>
      </c>
      <c r="C584" t="s">
        <v>17</v>
      </c>
      <c r="D584">
        <v>30000</v>
      </c>
      <c r="E584" t="str">
        <f>IF(Sales_Data[[#This Row],[Income]]&lt;=20000,"Low Income",IF(Sales_Data[[#This Row],[Income]]&lt;=40000,"Lower Middle",IF(Sales_Data[[#This Row],[Income]]&lt;=60000,"Middle Income",IF(Sales_Data[[#This Row],[Income]]&lt;=80000,"Upper Middle","High Income"))))</f>
        <v>Lower Middle</v>
      </c>
      <c r="F584">
        <v>0</v>
      </c>
      <c r="G584" t="s">
        <v>45</v>
      </c>
      <c r="H584" t="s">
        <v>42</v>
      </c>
      <c r="I584" t="s">
        <v>32</v>
      </c>
      <c r="J584">
        <v>1</v>
      </c>
      <c r="K584" t="s">
        <v>33</v>
      </c>
      <c r="L584" t="s">
        <v>23</v>
      </c>
      <c r="M584">
        <v>34</v>
      </c>
      <c r="N584" t="s">
        <v>24</v>
      </c>
      <c r="O584" t="s">
        <v>49</v>
      </c>
      <c r="P584" s="2">
        <v>4839.34</v>
      </c>
      <c r="Q584" t="s">
        <v>57</v>
      </c>
      <c r="R584" s="1">
        <v>45203</v>
      </c>
      <c r="S584" s="1"/>
    </row>
    <row r="585" spans="1:19" x14ac:dyDescent="0.3">
      <c r="A585">
        <v>14791</v>
      </c>
      <c r="B585" t="s">
        <v>17</v>
      </c>
      <c r="C585" t="s">
        <v>18</v>
      </c>
      <c r="D585">
        <v>40000</v>
      </c>
      <c r="E585" t="str">
        <f>IF(Sales_Data[[#This Row],[Income]]&lt;=20000,"Low Income",IF(Sales_Data[[#This Row],[Income]]&lt;=40000,"Lower Middle",IF(Sales_Data[[#This Row],[Income]]&lt;=60000,"Middle Income",IF(Sales_Data[[#This Row],[Income]]&lt;=80000,"Upper Middle","High Income"))))</f>
        <v>Lower Middle</v>
      </c>
      <c r="F585">
        <v>0</v>
      </c>
      <c r="G585" t="s">
        <v>19</v>
      </c>
      <c r="H585" t="s">
        <v>28</v>
      </c>
      <c r="I585" t="s">
        <v>21</v>
      </c>
      <c r="J585">
        <v>0</v>
      </c>
      <c r="K585" t="s">
        <v>22</v>
      </c>
      <c r="L585" t="s">
        <v>23</v>
      </c>
      <c r="M585">
        <v>39</v>
      </c>
      <c r="N585" t="s">
        <v>24</v>
      </c>
      <c r="O585" t="s">
        <v>34</v>
      </c>
      <c r="P585" s="2">
        <v>172.96</v>
      </c>
      <c r="Q585" t="s">
        <v>48</v>
      </c>
      <c r="R585" s="1">
        <v>45161</v>
      </c>
      <c r="S585" s="1"/>
    </row>
    <row r="586" spans="1:19" x14ac:dyDescent="0.3">
      <c r="A586">
        <v>17754</v>
      </c>
      <c r="B586" t="s">
        <v>35</v>
      </c>
      <c r="C586" t="s">
        <v>18</v>
      </c>
      <c r="D586">
        <v>30000</v>
      </c>
      <c r="E586" t="str">
        <f>IF(Sales_Data[[#This Row],[Income]]&lt;=20000,"Low Income",IF(Sales_Data[[#This Row],[Income]]&lt;=40000,"Lower Middle",IF(Sales_Data[[#This Row],[Income]]&lt;=60000,"Middle Income",IF(Sales_Data[[#This Row],[Income]]&lt;=80000,"Upper Middle","High Income"))))</f>
        <v>Lower Middle</v>
      </c>
      <c r="F586">
        <v>3</v>
      </c>
      <c r="G586" t="s">
        <v>19</v>
      </c>
      <c r="H586" t="s">
        <v>28</v>
      </c>
      <c r="I586" t="s">
        <v>21</v>
      </c>
      <c r="J586">
        <v>0</v>
      </c>
      <c r="K586" t="s">
        <v>22</v>
      </c>
      <c r="L586" t="s">
        <v>23</v>
      </c>
      <c r="M586">
        <v>46</v>
      </c>
      <c r="N586" t="s">
        <v>38</v>
      </c>
      <c r="O586" t="s">
        <v>62</v>
      </c>
      <c r="P586" s="2">
        <v>131.38</v>
      </c>
      <c r="Q586" t="s">
        <v>58</v>
      </c>
      <c r="R586" s="1">
        <v>45108</v>
      </c>
      <c r="S586" s="1"/>
    </row>
    <row r="587" spans="1:19" x14ac:dyDescent="0.3">
      <c r="A587">
        <v>11149</v>
      </c>
      <c r="B587" t="s">
        <v>17</v>
      </c>
      <c r="C587" t="s">
        <v>17</v>
      </c>
      <c r="D587">
        <v>40000</v>
      </c>
      <c r="E587" t="str">
        <f>IF(Sales_Data[[#This Row],[Income]]&lt;=20000,"Low Income",IF(Sales_Data[[#This Row],[Income]]&lt;=40000,"Lower Middle",IF(Sales_Data[[#This Row],[Income]]&lt;=60000,"Middle Income",IF(Sales_Data[[#This Row],[Income]]&lt;=80000,"Upper Middle","High Income"))))</f>
        <v>Lower Middle</v>
      </c>
      <c r="F587">
        <v>2</v>
      </c>
      <c r="G587" t="s">
        <v>19</v>
      </c>
      <c r="H587" t="s">
        <v>46</v>
      </c>
      <c r="I587" t="s">
        <v>21</v>
      </c>
      <c r="J587">
        <v>2</v>
      </c>
      <c r="K587" t="s">
        <v>22</v>
      </c>
      <c r="L587" t="s">
        <v>37</v>
      </c>
      <c r="M587">
        <v>65</v>
      </c>
      <c r="N587" t="s">
        <v>38</v>
      </c>
      <c r="O587" t="s">
        <v>41</v>
      </c>
      <c r="P587" s="2">
        <v>8491.1</v>
      </c>
      <c r="Q587" t="s">
        <v>57</v>
      </c>
      <c r="R587" s="1">
        <v>45230</v>
      </c>
      <c r="S587" s="1"/>
    </row>
    <row r="588" spans="1:19" x14ac:dyDescent="0.3">
      <c r="A588">
        <v>16549</v>
      </c>
      <c r="B588" t="s">
        <v>35</v>
      </c>
      <c r="C588" t="s">
        <v>18</v>
      </c>
      <c r="D588">
        <v>30000</v>
      </c>
      <c r="E588" t="str">
        <f>IF(Sales_Data[[#This Row],[Income]]&lt;=20000,"Low Income",IF(Sales_Data[[#This Row],[Income]]&lt;=40000,"Lower Middle",IF(Sales_Data[[#This Row],[Income]]&lt;=60000,"Middle Income",IF(Sales_Data[[#This Row],[Income]]&lt;=80000,"Upper Middle","High Income"))))</f>
        <v>Lower Middle</v>
      </c>
      <c r="F588">
        <v>3</v>
      </c>
      <c r="G588" t="s">
        <v>19</v>
      </c>
      <c r="H588" t="s">
        <v>28</v>
      </c>
      <c r="I588" t="s">
        <v>21</v>
      </c>
      <c r="J588">
        <v>0</v>
      </c>
      <c r="K588" t="s">
        <v>22</v>
      </c>
      <c r="L588" t="s">
        <v>23</v>
      </c>
      <c r="M588">
        <v>47</v>
      </c>
      <c r="N588" t="s">
        <v>24</v>
      </c>
      <c r="O588" t="s">
        <v>55</v>
      </c>
      <c r="P588" s="2">
        <v>5076.5</v>
      </c>
      <c r="Q588" t="s">
        <v>30</v>
      </c>
      <c r="R588" s="1">
        <v>44999</v>
      </c>
      <c r="S588" s="1"/>
    </row>
    <row r="589" spans="1:19" x14ac:dyDescent="0.3">
      <c r="A589">
        <v>20147</v>
      </c>
      <c r="B589" t="s">
        <v>17</v>
      </c>
      <c r="C589" t="s">
        <v>18</v>
      </c>
      <c r="D589">
        <v>30000</v>
      </c>
      <c r="E589" t="str">
        <f>IF(Sales_Data[[#This Row],[Income]]&lt;=20000,"Low Income",IF(Sales_Data[[#This Row],[Income]]&lt;=40000,"Lower Middle",IF(Sales_Data[[#This Row],[Income]]&lt;=60000,"Middle Income",IF(Sales_Data[[#This Row],[Income]]&lt;=80000,"Upper Middle","High Income"))))</f>
        <v>Lower Middle</v>
      </c>
      <c r="F589">
        <v>1</v>
      </c>
      <c r="G589" t="s">
        <v>19</v>
      </c>
      <c r="H589" t="s">
        <v>28</v>
      </c>
      <c r="I589" t="s">
        <v>21</v>
      </c>
      <c r="J589">
        <v>0</v>
      </c>
      <c r="K589" t="s">
        <v>22</v>
      </c>
      <c r="L589" t="s">
        <v>23</v>
      </c>
      <c r="M589">
        <v>65</v>
      </c>
      <c r="N589" t="s">
        <v>38</v>
      </c>
      <c r="O589" t="s">
        <v>39</v>
      </c>
      <c r="P589" s="2">
        <v>4935.91</v>
      </c>
      <c r="Q589" t="s">
        <v>56</v>
      </c>
      <c r="R589" s="1">
        <v>45190</v>
      </c>
      <c r="S589" s="1"/>
    </row>
    <row r="590" spans="1:19" x14ac:dyDescent="0.3">
      <c r="A590">
        <v>15612</v>
      </c>
      <c r="B590" t="s">
        <v>35</v>
      </c>
      <c r="C590" t="s">
        <v>17</v>
      </c>
      <c r="D590">
        <v>30000</v>
      </c>
      <c r="E590" t="str">
        <f>IF(Sales_Data[[#This Row],[Income]]&lt;=20000,"Low Income",IF(Sales_Data[[#This Row],[Income]]&lt;=40000,"Lower Middle",IF(Sales_Data[[#This Row],[Income]]&lt;=60000,"Middle Income",IF(Sales_Data[[#This Row],[Income]]&lt;=80000,"Upper Middle","High Income"))))</f>
        <v>Lower Middle</v>
      </c>
      <c r="F590">
        <v>0</v>
      </c>
      <c r="G590" t="s">
        <v>45</v>
      </c>
      <c r="H590" t="s">
        <v>42</v>
      </c>
      <c r="I590" t="s">
        <v>32</v>
      </c>
      <c r="J590">
        <v>1</v>
      </c>
      <c r="K590" t="s">
        <v>43</v>
      </c>
      <c r="L590" t="s">
        <v>23</v>
      </c>
      <c r="M590">
        <v>28</v>
      </c>
      <c r="N590" t="s">
        <v>24</v>
      </c>
      <c r="O590" t="s">
        <v>55</v>
      </c>
      <c r="P590" s="2">
        <v>1165.1099999999999</v>
      </c>
      <c r="Q590" t="s">
        <v>58</v>
      </c>
      <c r="R590" s="1">
        <v>45120</v>
      </c>
      <c r="S590" s="1"/>
    </row>
    <row r="591" spans="1:19" x14ac:dyDescent="0.3">
      <c r="A591">
        <v>22634</v>
      </c>
      <c r="B591" t="s">
        <v>35</v>
      </c>
      <c r="C591" t="s">
        <v>18</v>
      </c>
      <c r="D591">
        <v>40000</v>
      </c>
      <c r="E591" t="str">
        <f>IF(Sales_Data[[#This Row],[Income]]&lt;=20000,"Low Income",IF(Sales_Data[[#This Row],[Income]]&lt;=40000,"Lower Middle",IF(Sales_Data[[#This Row],[Income]]&lt;=60000,"Middle Income",IF(Sales_Data[[#This Row],[Income]]&lt;=80000,"Upper Middle","High Income"))))</f>
        <v>Lower Middle</v>
      </c>
      <c r="F591">
        <v>0</v>
      </c>
      <c r="G591" t="s">
        <v>61</v>
      </c>
      <c r="H591" t="s">
        <v>28</v>
      </c>
      <c r="I591" t="s">
        <v>21</v>
      </c>
      <c r="J591">
        <v>0</v>
      </c>
      <c r="K591" t="s">
        <v>22</v>
      </c>
      <c r="L591" t="s">
        <v>23</v>
      </c>
      <c r="M591">
        <v>38</v>
      </c>
      <c r="N591" t="s">
        <v>38</v>
      </c>
      <c r="O591" t="s">
        <v>39</v>
      </c>
      <c r="P591" s="2">
        <v>7056.54</v>
      </c>
      <c r="Q591" t="s">
        <v>26</v>
      </c>
      <c r="R591" s="1">
        <v>45276</v>
      </c>
      <c r="S591" s="1"/>
    </row>
    <row r="592" spans="1:19" x14ac:dyDescent="0.3">
      <c r="A592">
        <v>15665</v>
      </c>
      <c r="B592" t="s">
        <v>17</v>
      </c>
      <c r="C592" t="s">
        <v>18</v>
      </c>
      <c r="D592">
        <v>30000</v>
      </c>
      <c r="E592" t="str">
        <f>IF(Sales_Data[[#This Row],[Income]]&lt;=20000,"Low Income",IF(Sales_Data[[#This Row],[Income]]&lt;=40000,"Lower Middle",IF(Sales_Data[[#This Row],[Income]]&lt;=60000,"Middle Income",IF(Sales_Data[[#This Row],[Income]]&lt;=80000,"Upper Middle","High Income"))))</f>
        <v>Lower Middle</v>
      </c>
      <c r="F592">
        <v>0</v>
      </c>
      <c r="G592" t="s">
        <v>19</v>
      </c>
      <c r="H592" t="s">
        <v>28</v>
      </c>
      <c r="I592" t="s">
        <v>21</v>
      </c>
      <c r="J592">
        <v>0</v>
      </c>
      <c r="K592" t="s">
        <v>22</v>
      </c>
      <c r="L592" t="s">
        <v>23</v>
      </c>
      <c r="M592">
        <v>47</v>
      </c>
      <c r="N592" t="s">
        <v>38</v>
      </c>
      <c r="O592" t="s">
        <v>41</v>
      </c>
      <c r="P592" s="2">
        <v>8292.7199999999993</v>
      </c>
      <c r="Q592" t="s">
        <v>26</v>
      </c>
      <c r="R592" s="1">
        <v>45265</v>
      </c>
      <c r="S592" s="1"/>
    </row>
    <row r="593" spans="1:19" x14ac:dyDescent="0.3">
      <c r="A593">
        <v>22610</v>
      </c>
      <c r="B593" t="s">
        <v>17</v>
      </c>
      <c r="C593" t="s">
        <v>17</v>
      </c>
      <c r="D593">
        <v>30000</v>
      </c>
      <c r="E593" t="str">
        <f>IF(Sales_Data[[#This Row],[Income]]&lt;=20000,"Low Income",IF(Sales_Data[[#This Row],[Income]]&lt;=40000,"Lower Middle",IF(Sales_Data[[#This Row],[Income]]&lt;=60000,"Middle Income",IF(Sales_Data[[#This Row],[Income]]&lt;=80000,"Upper Middle","High Income"))))</f>
        <v>Lower Middle</v>
      </c>
      <c r="F593">
        <v>0</v>
      </c>
      <c r="G593" t="s">
        <v>19</v>
      </c>
      <c r="H593" t="s">
        <v>28</v>
      </c>
      <c r="I593" t="s">
        <v>21</v>
      </c>
      <c r="J593">
        <v>0</v>
      </c>
      <c r="K593" t="s">
        <v>22</v>
      </c>
      <c r="L593" t="s">
        <v>23</v>
      </c>
      <c r="M593">
        <v>35</v>
      </c>
      <c r="N593" t="s">
        <v>38</v>
      </c>
      <c r="O593" t="s">
        <v>62</v>
      </c>
      <c r="P593" s="2">
        <v>8744.8799999999992</v>
      </c>
      <c r="Q593" t="s">
        <v>26</v>
      </c>
      <c r="R593" s="1">
        <v>45290</v>
      </c>
      <c r="S593" s="1"/>
    </row>
    <row r="594" spans="1:19" x14ac:dyDescent="0.3">
      <c r="A594">
        <v>26984</v>
      </c>
      <c r="B594" t="s">
        <v>17</v>
      </c>
      <c r="C594" t="s">
        <v>17</v>
      </c>
      <c r="D594">
        <v>40000</v>
      </c>
      <c r="E594" t="str">
        <f>IF(Sales_Data[[#This Row],[Income]]&lt;=20000,"Low Income",IF(Sales_Data[[#This Row],[Income]]&lt;=40000,"Lower Middle",IF(Sales_Data[[#This Row],[Income]]&lt;=60000,"Middle Income",IF(Sales_Data[[#This Row],[Income]]&lt;=80000,"Upper Middle","High Income"))))</f>
        <v>Lower Middle</v>
      </c>
      <c r="F594">
        <v>1</v>
      </c>
      <c r="G594" t="s">
        <v>19</v>
      </c>
      <c r="H594" t="s">
        <v>20</v>
      </c>
      <c r="I594" t="s">
        <v>21</v>
      </c>
      <c r="J594">
        <v>1</v>
      </c>
      <c r="K594" t="s">
        <v>22</v>
      </c>
      <c r="L594" t="s">
        <v>23</v>
      </c>
      <c r="M594">
        <v>32</v>
      </c>
      <c r="N594" t="s">
        <v>38</v>
      </c>
      <c r="O594" t="s">
        <v>39</v>
      </c>
      <c r="P594" s="2">
        <v>479.75</v>
      </c>
      <c r="Q594" t="s">
        <v>59</v>
      </c>
      <c r="R594" s="1">
        <v>45027</v>
      </c>
      <c r="S594" s="1"/>
    </row>
    <row r="595" spans="1:19" x14ac:dyDescent="0.3">
      <c r="A595">
        <v>28564</v>
      </c>
      <c r="B595" t="s">
        <v>35</v>
      </c>
      <c r="C595" t="s">
        <v>18</v>
      </c>
      <c r="D595">
        <v>40000</v>
      </c>
      <c r="E595" t="str">
        <f>IF(Sales_Data[[#This Row],[Income]]&lt;=20000,"Low Income",IF(Sales_Data[[#This Row],[Income]]&lt;=40000,"Lower Middle",IF(Sales_Data[[#This Row],[Income]]&lt;=60000,"Middle Income",IF(Sales_Data[[#This Row],[Income]]&lt;=80000,"Upper Middle","High Income"))))</f>
        <v>Lower Middle</v>
      </c>
      <c r="F595">
        <v>2</v>
      </c>
      <c r="G595" t="s">
        <v>27</v>
      </c>
      <c r="H595" t="s">
        <v>28</v>
      </c>
      <c r="I595" t="s">
        <v>21</v>
      </c>
      <c r="J595">
        <v>0</v>
      </c>
      <c r="K595" t="s">
        <v>43</v>
      </c>
      <c r="L595" t="s">
        <v>23</v>
      </c>
      <c r="M595">
        <v>33</v>
      </c>
      <c r="N595" t="s">
        <v>24</v>
      </c>
      <c r="O595" t="s">
        <v>34</v>
      </c>
      <c r="P595" s="2">
        <v>8158</v>
      </c>
      <c r="Q595" t="s">
        <v>57</v>
      </c>
      <c r="R595" s="1">
        <v>45214</v>
      </c>
      <c r="S595" s="1"/>
    </row>
    <row r="596" spans="1:19" x14ac:dyDescent="0.3">
      <c r="A596">
        <v>28521</v>
      </c>
      <c r="B596" t="s">
        <v>35</v>
      </c>
      <c r="C596" t="s">
        <v>17</v>
      </c>
      <c r="D596">
        <v>40000</v>
      </c>
      <c r="E596" t="str">
        <f>IF(Sales_Data[[#This Row],[Income]]&lt;=20000,"Low Income",IF(Sales_Data[[#This Row],[Income]]&lt;=40000,"Lower Middle",IF(Sales_Data[[#This Row],[Income]]&lt;=60000,"Middle Income",IF(Sales_Data[[#This Row],[Income]]&lt;=80000,"Upper Middle","High Income"))))</f>
        <v>Lower Middle</v>
      </c>
      <c r="F596">
        <v>0</v>
      </c>
      <c r="G596" t="s">
        <v>61</v>
      </c>
      <c r="H596" t="s">
        <v>28</v>
      </c>
      <c r="I596" t="s">
        <v>32</v>
      </c>
      <c r="J596">
        <v>0</v>
      </c>
      <c r="K596" t="s">
        <v>22</v>
      </c>
      <c r="L596" t="s">
        <v>23</v>
      </c>
      <c r="M596">
        <v>36</v>
      </c>
      <c r="N596" t="s">
        <v>38</v>
      </c>
      <c r="O596" t="s">
        <v>62</v>
      </c>
      <c r="P596" s="2">
        <v>1397.82</v>
      </c>
      <c r="Q596" t="s">
        <v>56</v>
      </c>
      <c r="R596" s="1">
        <v>45191</v>
      </c>
      <c r="S596" s="1"/>
    </row>
    <row r="597" spans="1:19" x14ac:dyDescent="0.3">
      <c r="A597">
        <v>25681</v>
      </c>
      <c r="B597" t="s">
        <v>35</v>
      </c>
      <c r="C597" t="s">
        <v>18</v>
      </c>
      <c r="D597">
        <v>30000</v>
      </c>
      <c r="E597" t="str">
        <f>IF(Sales_Data[[#This Row],[Income]]&lt;=20000,"Low Income",IF(Sales_Data[[#This Row],[Income]]&lt;=40000,"Lower Middle",IF(Sales_Data[[#This Row],[Income]]&lt;=60000,"Middle Income",IF(Sales_Data[[#This Row],[Income]]&lt;=80000,"Upper Middle","High Income"))))</f>
        <v>Lower Middle</v>
      </c>
      <c r="F597">
        <v>0</v>
      </c>
      <c r="G597" t="s">
        <v>27</v>
      </c>
      <c r="H597" t="s">
        <v>28</v>
      </c>
      <c r="I597" t="s">
        <v>32</v>
      </c>
      <c r="J597">
        <v>1</v>
      </c>
      <c r="K597" t="s">
        <v>33</v>
      </c>
      <c r="L597" t="s">
        <v>23</v>
      </c>
      <c r="M597">
        <v>31</v>
      </c>
      <c r="N597" t="s">
        <v>38</v>
      </c>
      <c r="O597" t="s">
        <v>54</v>
      </c>
      <c r="P597" s="2">
        <v>3271.94</v>
      </c>
      <c r="Q597" t="s">
        <v>51</v>
      </c>
      <c r="R597" s="1">
        <v>45078</v>
      </c>
      <c r="S597" s="1"/>
    </row>
    <row r="598" spans="1:19" x14ac:dyDescent="0.3">
      <c r="A598">
        <v>19491</v>
      </c>
      <c r="B598" t="s">
        <v>35</v>
      </c>
      <c r="C598" t="s">
        <v>17</v>
      </c>
      <c r="D598">
        <v>30000</v>
      </c>
      <c r="E598" t="str">
        <f>IF(Sales_Data[[#This Row],[Income]]&lt;=20000,"Low Income",IF(Sales_Data[[#This Row],[Income]]&lt;=40000,"Lower Middle",IF(Sales_Data[[#This Row],[Income]]&lt;=60000,"Middle Income",IF(Sales_Data[[#This Row],[Income]]&lt;=80000,"Upper Middle","High Income"))))</f>
        <v>Lower Middle</v>
      </c>
      <c r="F598">
        <v>2</v>
      </c>
      <c r="G598" t="s">
        <v>27</v>
      </c>
      <c r="H598" t="s">
        <v>28</v>
      </c>
      <c r="I598" t="s">
        <v>21</v>
      </c>
      <c r="J598">
        <v>2</v>
      </c>
      <c r="K598" t="s">
        <v>22</v>
      </c>
      <c r="L598" t="s">
        <v>23</v>
      </c>
      <c r="M598">
        <v>42</v>
      </c>
      <c r="N598" t="s">
        <v>38</v>
      </c>
      <c r="O598" t="s">
        <v>62</v>
      </c>
      <c r="P598" s="2">
        <v>5205.1899999999996</v>
      </c>
      <c r="Q598" t="s">
        <v>60</v>
      </c>
      <c r="R598" s="1">
        <v>45237</v>
      </c>
      <c r="S598" s="1"/>
    </row>
    <row r="599" spans="1:19" x14ac:dyDescent="0.3">
      <c r="A599">
        <v>12821</v>
      </c>
      <c r="B599" t="s">
        <v>17</v>
      </c>
      <c r="C599" t="s">
        <v>17</v>
      </c>
      <c r="D599">
        <v>40000</v>
      </c>
      <c r="E599" t="str">
        <f>IF(Sales_Data[[#This Row],[Income]]&lt;=20000,"Low Income",IF(Sales_Data[[#This Row],[Income]]&lt;=40000,"Lower Middle",IF(Sales_Data[[#This Row],[Income]]&lt;=60000,"Middle Income",IF(Sales_Data[[#This Row],[Income]]&lt;=80000,"Upper Middle","High Income"))))</f>
        <v>Lower Middle</v>
      </c>
      <c r="F599">
        <v>0</v>
      </c>
      <c r="G599" t="s">
        <v>19</v>
      </c>
      <c r="H599" t="s">
        <v>28</v>
      </c>
      <c r="I599" t="s">
        <v>21</v>
      </c>
      <c r="J599">
        <v>0</v>
      </c>
      <c r="K599" t="s">
        <v>22</v>
      </c>
      <c r="L599" t="s">
        <v>23</v>
      </c>
      <c r="M599">
        <v>39</v>
      </c>
      <c r="N599" t="s">
        <v>38</v>
      </c>
      <c r="O599" t="s">
        <v>62</v>
      </c>
      <c r="P599" s="2">
        <v>1233.55</v>
      </c>
      <c r="Q599" t="s">
        <v>58</v>
      </c>
      <c r="R599" s="1">
        <v>45117</v>
      </c>
      <c r="S599" s="1"/>
    </row>
    <row r="600" spans="1:19" x14ac:dyDescent="0.3">
      <c r="A600">
        <v>26238</v>
      </c>
      <c r="B600" t="s">
        <v>35</v>
      </c>
      <c r="C600" t="s">
        <v>18</v>
      </c>
      <c r="D600">
        <v>40000</v>
      </c>
      <c r="E600" t="str">
        <f>IF(Sales_Data[[#This Row],[Income]]&lt;=20000,"Low Income",IF(Sales_Data[[#This Row],[Income]]&lt;=40000,"Lower Middle",IF(Sales_Data[[#This Row],[Income]]&lt;=60000,"Middle Income",IF(Sales_Data[[#This Row],[Income]]&lt;=80000,"Upper Middle","High Income"))))</f>
        <v>Lower Middle</v>
      </c>
      <c r="F600">
        <v>3</v>
      </c>
      <c r="G600" t="s">
        <v>27</v>
      </c>
      <c r="H600" t="s">
        <v>28</v>
      </c>
      <c r="I600" t="s">
        <v>21</v>
      </c>
      <c r="J600">
        <v>1</v>
      </c>
      <c r="K600" t="s">
        <v>43</v>
      </c>
      <c r="L600" t="s">
        <v>63</v>
      </c>
      <c r="M600">
        <v>31</v>
      </c>
      <c r="N600" t="s">
        <v>38</v>
      </c>
      <c r="O600" t="s">
        <v>41</v>
      </c>
      <c r="P600" s="2">
        <v>4510.54</v>
      </c>
      <c r="Q600" t="s">
        <v>60</v>
      </c>
      <c r="R600" s="1">
        <v>45257</v>
      </c>
      <c r="S600" s="1"/>
    </row>
    <row r="601" spans="1:19" x14ac:dyDescent="0.3">
      <c r="A601">
        <v>26575</v>
      </c>
      <c r="B601" t="s">
        <v>35</v>
      </c>
      <c r="C601" t="s">
        <v>18</v>
      </c>
      <c r="D601">
        <v>40000</v>
      </c>
      <c r="E601" t="str">
        <f>IF(Sales_Data[[#This Row],[Income]]&lt;=20000,"Low Income",IF(Sales_Data[[#This Row],[Income]]&lt;=40000,"Lower Middle",IF(Sales_Data[[#This Row],[Income]]&lt;=60000,"Middle Income",IF(Sales_Data[[#This Row],[Income]]&lt;=80000,"Upper Middle","High Income"))))</f>
        <v>Lower Middle</v>
      </c>
      <c r="F601">
        <v>0</v>
      </c>
      <c r="G601" t="s">
        <v>45</v>
      </c>
      <c r="H601" t="s">
        <v>20</v>
      </c>
      <c r="I601" t="s">
        <v>32</v>
      </c>
      <c r="J601">
        <v>2</v>
      </c>
      <c r="K601" t="s">
        <v>43</v>
      </c>
      <c r="L601" t="s">
        <v>63</v>
      </c>
      <c r="M601">
        <v>31</v>
      </c>
      <c r="N601" t="s">
        <v>24</v>
      </c>
      <c r="O601" t="s">
        <v>55</v>
      </c>
      <c r="P601" s="2">
        <v>1913.74</v>
      </c>
      <c r="Q601" t="s">
        <v>44</v>
      </c>
      <c r="R601" s="1">
        <v>44928</v>
      </c>
      <c r="S601" s="1"/>
    </row>
    <row r="602" spans="1:19" x14ac:dyDescent="0.3">
      <c r="A602">
        <v>15275</v>
      </c>
      <c r="B602" t="s">
        <v>17</v>
      </c>
      <c r="C602" t="s">
        <v>17</v>
      </c>
      <c r="D602">
        <v>40000</v>
      </c>
      <c r="E602" t="str">
        <f>IF(Sales_Data[[#This Row],[Income]]&lt;=20000,"Low Income",IF(Sales_Data[[#This Row],[Income]]&lt;=40000,"Lower Middle",IF(Sales_Data[[#This Row],[Income]]&lt;=60000,"Middle Income",IF(Sales_Data[[#This Row],[Income]]&lt;=80000,"Upper Middle","High Income"))))</f>
        <v>Lower Middle</v>
      </c>
      <c r="F602">
        <v>0</v>
      </c>
      <c r="G602" t="s">
        <v>27</v>
      </c>
      <c r="H602" t="s">
        <v>20</v>
      </c>
      <c r="I602" t="s">
        <v>21</v>
      </c>
      <c r="J602">
        <v>1</v>
      </c>
      <c r="K602" t="s">
        <v>36</v>
      </c>
      <c r="L602" t="s">
        <v>63</v>
      </c>
      <c r="M602">
        <v>29</v>
      </c>
      <c r="N602" t="s">
        <v>24</v>
      </c>
      <c r="O602" t="s">
        <v>29</v>
      </c>
      <c r="P602" s="2">
        <v>8528.8700000000008</v>
      </c>
      <c r="Q602" t="s">
        <v>60</v>
      </c>
      <c r="R602" s="1">
        <v>45251</v>
      </c>
      <c r="S602" s="1"/>
    </row>
    <row r="603" spans="1:19" x14ac:dyDescent="0.3">
      <c r="A603">
        <v>24738</v>
      </c>
      <c r="B603" t="s">
        <v>17</v>
      </c>
      <c r="C603" t="s">
        <v>18</v>
      </c>
      <c r="D603">
        <v>40000</v>
      </c>
      <c r="E603" t="str">
        <f>IF(Sales_Data[[#This Row],[Income]]&lt;=20000,"Low Income",IF(Sales_Data[[#This Row],[Income]]&lt;=40000,"Lower Middle",IF(Sales_Data[[#This Row],[Income]]&lt;=60000,"Middle Income",IF(Sales_Data[[#This Row],[Income]]&lt;=80000,"Upper Middle","High Income"))))</f>
        <v>Lower Middle</v>
      </c>
      <c r="F603">
        <v>1</v>
      </c>
      <c r="G603" t="s">
        <v>27</v>
      </c>
      <c r="H603" t="s">
        <v>28</v>
      </c>
      <c r="I603" t="s">
        <v>21</v>
      </c>
      <c r="J603">
        <v>1</v>
      </c>
      <c r="K603" t="s">
        <v>43</v>
      </c>
      <c r="L603" t="s">
        <v>63</v>
      </c>
      <c r="M603">
        <v>51</v>
      </c>
      <c r="N603" t="s">
        <v>38</v>
      </c>
      <c r="O603" t="s">
        <v>39</v>
      </c>
      <c r="P603" s="2">
        <v>8739.6200000000008</v>
      </c>
      <c r="Q603" t="s">
        <v>26</v>
      </c>
      <c r="R603" s="1">
        <v>45270</v>
      </c>
      <c r="S603" s="1"/>
    </row>
    <row r="604" spans="1:19" x14ac:dyDescent="0.3">
      <c r="A604">
        <v>19399</v>
      </c>
      <c r="B604" t="s">
        <v>35</v>
      </c>
      <c r="C604" t="s">
        <v>17</v>
      </c>
      <c r="D604">
        <v>40000</v>
      </c>
      <c r="E604" t="str">
        <f>IF(Sales_Data[[#This Row],[Income]]&lt;=20000,"Low Income",IF(Sales_Data[[#This Row],[Income]]&lt;=40000,"Lower Middle",IF(Sales_Data[[#This Row],[Income]]&lt;=60000,"Middle Income",IF(Sales_Data[[#This Row],[Income]]&lt;=80000,"Upper Middle","High Income"))))</f>
        <v>Lower Middle</v>
      </c>
      <c r="F604">
        <v>0</v>
      </c>
      <c r="G604" t="s">
        <v>19</v>
      </c>
      <c r="H604" t="s">
        <v>31</v>
      </c>
      <c r="I604" t="s">
        <v>32</v>
      </c>
      <c r="J604">
        <v>1</v>
      </c>
      <c r="K604" t="s">
        <v>33</v>
      </c>
      <c r="L604" t="s">
        <v>63</v>
      </c>
      <c r="M604">
        <v>45</v>
      </c>
      <c r="N604" t="s">
        <v>38</v>
      </c>
      <c r="O604" t="s">
        <v>47</v>
      </c>
      <c r="P604" s="2">
        <v>9969.18</v>
      </c>
      <c r="Q604" t="s">
        <v>60</v>
      </c>
      <c r="R604" s="1">
        <v>45254</v>
      </c>
      <c r="S604" s="1"/>
    </row>
    <row r="605" spans="1:19" x14ac:dyDescent="0.3">
      <c r="A605">
        <v>18976</v>
      </c>
      <c r="B605" t="s">
        <v>35</v>
      </c>
      <c r="C605" t="s">
        <v>17</v>
      </c>
      <c r="D605">
        <v>40000</v>
      </c>
      <c r="E605" t="str">
        <f>IF(Sales_Data[[#This Row],[Income]]&lt;=20000,"Low Income",IF(Sales_Data[[#This Row],[Income]]&lt;=40000,"Lower Middle",IF(Sales_Data[[#This Row],[Income]]&lt;=60000,"Middle Income",IF(Sales_Data[[#This Row],[Income]]&lt;=80000,"Upper Middle","High Income"))))</f>
        <v>Lower Middle</v>
      </c>
      <c r="F605">
        <v>4</v>
      </c>
      <c r="G605" t="s">
        <v>45</v>
      </c>
      <c r="H605" t="s">
        <v>31</v>
      </c>
      <c r="I605" t="s">
        <v>21</v>
      </c>
      <c r="J605">
        <v>2</v>
      </c>
      <c r="K605" t="s">
        <v>53</v>
      </c>
      <c r="L605" t="s">
        <v>63</v>
      </c>
      <c r="M605">
        <v>62</v>
      </c>
      <c r="N605" t="s">
        <v>38</v>
      </c>
      <c r="O605" t="s">
        <v>54</v>
      </c>
      <c r="P605" s="2">
        <v>5195.47</v>
      </c>
      <c r="Q605" t="s">
        <v>40</v>
      </c>
      <c r="R605" s="1">
        <v>45058</v>
      </c>
      <c r="S605" s="1"/>
    </row>
    <row r="606" spans="1:19" x14ac:dyDescent="0.3">
      <c r="A606">
        <v>11935</v>
      </c>
      <c r="B606" t="s">
        <v>35</v>
      </c>
      <c r="C606" t="s">
        <v>18</v>
      </c>
      <c r="D606">
        <v>30000</v>
      </c>
      <c r="E606" t="str">
        <f>IF(Sales_Data[[#This Row],[Income]]&lt;=20000,"Low Income",IF(Sales_Data[[#This Row],[Income]]&lt;=40000,"Lower Middle",IF(Sales_Data[[#This Row],[Income]]&lt;=60000,"Middle Income",IF(Sales_Data[[#This Row],[Income]]&lt;=80000,"Upper Middle","High Income"))))</f>
        <v>Lower Middle</v>
      </c>
      <c r="F606">
        <v>0</v>
      </c>
      <c r="G606" t="s">
        <v>27</v>
      </c>
      <c r="H606" t="s">
        <v>20</v>
      </c>
      <c r="I606" t="s">
        <v>21</v>
      </c>
      <c r="J606">
        <v>1</v>
      </c>
      <c r="K606" t="s">
        <v>36</v>
      </c>
      <c r="L606" t="s">
        <v>63</v>
      </c>
      <c r="M606">
        <v>28</v>
      </c>
      <c r="N606" t="s">
        <v>38</v>
      </c>
      <c r="O606" t="s">
        <v>39</v>
      </c>
      <c r="P606" s="2">
        <v>6275.93</v>
      </c>
      <c r="Q606" t="s">
        <v>26</v>
      </c>
      <c r="R606" s="1">
        <v>45284</v>
      </c>
      <c r="S606" s="1"/>
    </row>
    <row r="607" spans="1:19" x14ac:dyDescent="0.3">
      <c r="A607">
        <v>14092</v>
      </c>
      <c r="B607" t="s">
        <v>35</v>
      </c>
      <c r="C607" t="s">
        <v>17</v>
      </c>
      <c r="D607">
        <v>30000</v>
      </c>
      <c r="E607" t="str">
        <f>IF(Sales_Data[[#This Row],[Income]]&lt;=20000,"Low Income",IF(Sales_Data[[#This Row],[Income]]&lt;=40000,"Lower Middle",IF(Sales_Data[[#This Row],[Income]]&lt;=60000,"Middle Income",IF(Sales_Data[[#This Row],[Income]]&lt;=80000,"Upper Middle","High Income"))))</f>
        <v>Lower Middle</v>
      </c>
      <c r="F607">
        <v>0</v>
      </c>
      <c r="G607" t="s">
        <v>50</v>
      </c>
      <c r="H607" t="s">
        <v>28</v>
      </c>
      <c r="I607" t="s">
        <v>21</v>
      </c>
      <c r="J607">
        <v>2</v>
      </c>
      <c r="K607" t="s">
        <v>36</v>
      </c>
      <c r="L607" t="s">
        <v>63</v>
      </c>
      <c r="M607">
        <v>28</v>
      </c>
      <c r="N607" t="s">
        <v>38</v>
      </c>
      <c r="O607" t="s">
        <v>39</v>
      </c>
      <c r="P607" s="2">
        <v>9150.08</v>
      </c>
      <c r="Q607" t="s">
        <v>44</v>
      </c>
      <c r="R607" s="1">
        <v>44956</v>
      </c>
      <c r="S607" s="1"/>
    </row>
    <row r="608" spans="1:19" x14ac:dyDescent="0.3">
      <c r="A608">
        <v>24637</v>
      </c>
      <c r="B608" t="s">
        <v>17</v>
      </c>
      <c r="C608" t="s">
        <v>17</v>
      </c>
      <c r="D608">
        <v>40000</v>
      </c>
      <c r="E608" t="str">
        <f>IF(Sales_Data[[#This Row],[Income]]&lt;=20000,"Low Income",IF(Sales_Data[[#This Row],[Income]]&lt;=40000,"Lower Middle",IF(Sales_Data[[#This Row],[Income]]&lt;=60000,"Middle Income",IF(Sales_Data[[#This Row],[Income]]&lt;=80000,"Upper Middle","High Income"))))</f>
        <v>Lower Middle</v>
      </c>
      <c r="F608">
        <v>4</v>
      </c>
      <c r="G608" t="s">
        <v>45</v>
      </c>
      <c r="H608" t="s">
        <v>31</v>
      </c>
      <c r="I608" t="s">
        <v>21</v>
      </c>
      <c r="J608">
        <v>2</v>
      </c>
      <c r="K608" t="s">
        <v>53</v>
      </c>
      <c r="L608" t="s">
        <v>63</v>
      </c>
      <c r="M608">
        <v>64</v>
      </c>
      <c r="N608" t="s">
        <v>38</v>
      </c>
      <c r="O608" t="s">
        <v>39</v>
      </c>
      <c r="P608" s="2">
        <v>5764.07</v>
      </c>
      <c r="Q608" t="s">
        <v>56</v>
      </c>
      <c r="R608" s="1">
        <v>45181</v>
      </c>
      <c r="S608" s="1"/>
    </row>
    <row r="609" spans="1:19" x14ac:dyDescent="0.3">
      <c r="A609">
        <v>14900</v>
      </c>
      <c r="B609" t="s">
        <v>17</v>
      </c>
      <c r="C609" t="s">
        <v>18</v>
      </c>
      <c r="D609">
        <v>40000</v>
      </c>
      <c r="E609" t="str">
        <f>IF(Sales_Data[[#This Row],[Income]]&lt;=20000,"Low Income",IF(Sales_Data[[#This Row],[Income]]&lt;=40000,"Lower Middle",IF(Sales_Data[[#This Row],[Income]]&lt;=60000,"Middle Income",IF(Sales_Data[[#This Row],[Income]]&lt;=80000,"Upper Middle","High Income"))))</f>
        <v>Lower Middle</v>
      </c>
      <c r="F609">
        <v>1</v>
      </c>
      <c r="G609" t="s">
        <v>27</v>
      </c>
      <c r="H609" t="s">
        <v>28</v>
      </c>
      <c r="I609" t="s">
        <v>21</v>
      </c>
      <c r="J609">
        <v>1</v>
      </c>
      <c r="K609" t="s">
        <v>43</v>
      </c>
      <c r="L609" t="s">
        <v>63</v>
      </c>
      <c r="M609">
        <v>49</v>
      </c>
      <c r="N609" t="s">
        <v>38</v>
      </c>
      <c r="O609" t="s">
        <v>41</v>
      </c>
      <c r="P609" s="2">
        <v>2082.06</v>
      </c>
      <c r="Q609" t="s">
        <v>30</v>
      </c>
      <c r="R609" s="1">
        <v>45010</v>
      </c>
      <c r="S609" s="1"/>
    </row>
    <row r="610" spans="1:19" x14ac:dyDescent="0.3">
      <c r="A610">
        <v>11143</v>
      </c>
      <c r="B610" t="s">
        <v>17</v>
      </c>
      <c r="C610" t="s">
        <v>17</v>
      </c>
      <c r="D610">
        <v>40000</v>
      </c>
      <c r="E610" t="str">
        <f>IF(Sales_Data[[#This Row],[Income]]&lt;=20000,"Low Income",IF(Sales_Data[[#This Row],[Income]]&lt;=40000,"Lower Middle",IF(Sales_Data[[#This Row],[Income]]&lt;=60000,"Middle Income",IF(Sales_Data[[#This Row],[Income]]&lt;=80000,"Upper Middle","High Income"))))</f>
        <v>Lower Middle</v>
      </c>
      <c r="F610">
        <v>0</v>
      </c>
      <c r="G610" t="s">
        <v>45</v>
      </c>
      <c r="H610" t="s">
        <v>20</v>
      </c>
      <c r="I610" t="s">
        <v>21</v>
      </c>
      <c r="J610">
        <v>2</v>
      </c>
      <c r="K610" t="s">
        <v>36</v>
      </c>
      <c r="L610" t="s">
        <v>63</v>
      </c>
      <c r="M610">
        <v>29</v>
      </c>
      <c r="N610" t="s">
        <v>38</v>
      </c>
      <c r="O610" t="s">
        <v>41</v>
      </c>
      <c r="P610" s="2">
        <v>6996.68</v>
      </c>
      <c r="Q610" t="s">
        <v>58</v>
      </c>
      <c r="R610" s="1">
        <v>45115</v>
      </c>
      <c r="S610" s="1"/>
    </row>
    <row r="611" spans="1:19" x14ac:dyDescent="0.3">
      <c r="A611">
        <v>17533</v>
      </c>
      <c r="B611" t="s">
        <v>17</v>
      </c>
      <c r="C611" t="s">
        <v>17</v>
      </c>
      <c r="D611">
        <v>40000</v>
      </c>
      <c r="E611" t="str">
        <f>IF(Sales_Data[[#This Row],[Income]]&lt;=20000,"Low Income",IF(Sales_Data[[#This Row],[Income]]&lt;=40000,"Lower Middle",IF(Sales_Data[[#This Row],[Income]]&lt;=60000,"Middle Income",IF(Sales_Data[[#This Row],[Income]]&lt;=80000,"Upper Middle","High Income"))))</f>
        <v>Lower Middle</v>
      </c>
      <c r="F611">
        <v>3</v>
      </c>
      <c r="G611" t="s">
        <v>27</v>
      </c>
      <c r="H611" t="s">
        <v>31</v>
      </c>
      <c r="I611" t="s">
        <v>32</v>
      </c>
      <c r="J611">
        <v>2</v>
      </c>
      <c r="K611" t="s">
        <v>36</v>
      </c>
      <c r="L611" t="s">
        <v>63</v>
      </c>
      <c r="M611">
        <v>73</v>
      </c>
      <c r="N611" t="s">
        <v>24</v>
      </c>
      <c r="O611" t="s">
        <v>55</v>
      </c>
      <c r="P611" s="2">
        <v>7470.31</v>
      </c>
      <c r="Q611" t="s">
        <v>57</v>
      </c>
      <c r="R611" s="1">
        <v>45202</v>
      </c>
      <c r="S611" s="1"/>
    </row>
    <row r="612" spans="1:19" x14ac:dyDescent="0.3">
      <c r="A612">
        <v>24725</v>
      </c>
      <c r="B612" t="s">
        <v>17</v>
      </c>
      <c r="C612" t="s">
        <v>18</v>
      </c>
      <c r="D612">
        <v>40000</v>
      </c>
      <c r="E612" t="str">
        <f>IF(Sales_Data[[#This Row],[Income]]&lt;=20000,"Low Income",IF(Sales_Data[[#This Row],[Income]]&lt;=40000,"Lower Middle",IF(Sales_Data[[#This Row],[Income]]&lt;=60000,"Middle Income",IF(Sales_Data[[#This Row],[Income]]&lt;=80000,"Upper Middle","High Income"))))</f>
        <v>Lower Middle</v>
      </c>
      <c r="F612">
        <v>3</v>
      </c>
      <c r="G612" t="s">
        <v>27</v>
      </c>
      <c r="H612" t="s">
        <v>28</v>
      </c>
      <c r="I612" t="s">
        <v>21</v>
      </c>
      <c r="J612">
        <v>0</v>
      </c>
      <c r="K612" t="s">
        <v>43</v>
      </c>
      <c r="L612" t="s">
        <v>63</v>
      </c>
      <c r="M612">
        <v>31</v>
      </c>
      <c r="N612" t="s">
        <v>38</v>
      </c>
      <c r="O612" t="s">
        <v>39</v>
      </c>
      <c r="P612" s="2">
        <v>2211.38</v>
      </c>
      <c r="Q612" t="s">
        <v>30</v>
      </c>
      <c r="R612" s="1">
        <v>45001</v>
      </c>
      <c r="S612" s="1"/>
    </row>
    <row r="613" spans="1:19" x14ac:dyDescent="0.3">
      <c r="A613">
        <v>25006</v>
      </c>
      <c r="B613" t="s">
        <v>35</v>
      </c>
      <c r="C613" t="s">
        <v>18</v>
      </c>
      <c r="D613">
        <v>30000</v>
      </c>
      <c r="E613" t="str">
        <f>IF(Sales_Data[[#This Row],[Income]]&lt;=20000,"Low Income",IF(Sales_Data[[#This Row],[Income]]&lt;=40000,"Lower Middle",IF(Sales_Data[[#This Row],[Income]]&lt;=60000,"Middle Income",IF(Sales_Data[[#This Row],[Income]]&lt;=80000,"Upper Middle","High Income"))))</f>
        <v>Lower Middle</v>
      </c>
      <c r="F613">
        <v>0</v>
      </c>
      <c r="G613" t="s">
        <v>27</v>
      </c>
      <c r="H613" t="s">
        <v>20</v>
      </c>
      <c r="I613" t="s">
        <v>21</v>
      </c>
      <c r="J613">
        <v>1</v>
      </c>
      <c r="K613" t="s">
        <v>36</v>
      </c>
      <c r="L613" t="s">
        <v>63</v>
      </c>
      <c r="M613">
        <v>28</v>
      </c>
      <c r="N613" t="s">
        <v>24</v>
      </c>
      <c r="O613" t="s">
        <v>49</v>
      </c>
      <c r="P613" s="2">
        <v>1316.04</v>
      </c>
      <c r="Q613" t="s">
        <v>57</v>
      </c>
      <c r="R613" s="1">
        <v>45213</v>
      </c>
      <c r="S613" s="1"/>
    </row>
    <row r="614" spans="1:19" x14ac:dyDescent="0.3">
      <c r="A614">
        <v>17369</v>
      </c>
      <c r="B614" t="s">
        <v>35</v>
      </c>
      <c r="C614" t="s">
        <v>17</v>
      </c>
      <c r="D614">
        <v>30000</v>
      </c>
      <c r="E614" t="str">
        <f>IF(Sales_Data[[#This Row],[Income]]&lt;=20000,"Low Income",IF(Sales_Data[[#This Row],[Income]]&lt;=40000,"Lower Middle",IF(Sales_Data[[#This Row],[Income]]&lt;=60000,"Middle Income",IF(Sales_Data[[#This Row],[Income]]&lt;=80000,"Upper Middle","High Income"))))</f>
        <v>Lower Middle</v>
      </c>
      <c r="F614">
        <v>0</v>
      </c>
      <c r="G614" t="s">
        <v>27</v>
      </c>
      <c r="H614" t="s">
        <v>20</v>
      </c>
      <c r="I614" t="s">
        <v>21</v>
      </c>
      <c r="J614">
        <v>1</v>
      </c>
      <c r="K614" t="s">
        <v>36</v>
      </c>
      <c r="L614" t="s">
        <v>63</v>
      </c>
      <c r="M614">
        <v>27</v>
      </c>
      <c r="N614" t="s">
        <v>24</v>
      </c>
      <c r="O614" t="s">
        <v>55</v>
      </c>
      <c r="P614" s="2">
        <v>4437.78</v>
      </c>
      <c r="Q614" t="s">
        <v>58</v>
      </c>
      <c r="R614" s="1">
        <v>45132</v>
      </c>
      <c r="S614" s="1"/>
    </row>
    <row r="615" spans="1:19" x14ac:dyDescent="0.3">
      <c r="A615">
        <v>14495</v>
      </c>
      <c r="B615" t="s">
        <v>17</v>
      </c>
      <c r="C615" t="s">
        <v>17</v>
      </c>
      <c r="D615">
        <v>40000</v>
      </c>
      <c r="E615" t="str">
        <f>IF(Sales_Data[[#This Row],[Income]]&lt;=20000,"Low Income",IF(Sales_Data[[#This Row],[Income]]&lt;=40000,"Lower Middle",IF(Sales_Data[[#This Row],[Income]]&lt;=60000,"Middle Income",IF(Sales_Data[[#This Row],[Income]]&lt;=80000,"Upper Middle","High Income"))))</f>
        <v>Lower Middle</v>
      </c>
      <c r="F615">
        <v>3</v>
      </c>
      <c r="G615" t="s">
        <v>27</v>
      </c>
      <c r="H615" t="s">
        <v>31</v>
      </c>
      <c r="I615" t="s">
        <v>32</v>
      </c>
      <c r="J615">
        <v>2</v>
      </c>
      <c r="K615" t="s">
        <v>36</v>
      </c>
      <c r="L615" t="s">
        <v>63</v>
      </c>
      <c r="M615">
        <v>54</v>
      </c>
      <c r="N615" t="s">
        <v>24</v>
      </c>
      <c r="O615" t="s">
        <v>29</v>
      </c>
      <c r="P615" s="2">
        <v>7437.41</v>
      </c>
      <c r="Q615" t="s">
        <v>40</v>
      </c>
      <c r="R615" s="1">
        <v>45074</v>
      </c>
      <c r="S615" s="1"/>
    </row>
    <row r="616" spans="1:19" x14ac:dyDescent="0.3">
      <c r="A616">
        <v>14754</v>
      </c>
      <c r="B616" t="s">
        <v>17</v>
      </c>
      <c r="C616" t="s">
        <v>17</v>
      </c>
      <c r="D616">
        <v>40000</v>
      </c>
      <c r="E616" t="str">
        <f>IF(Sales_Data[[#This Row],[Income]]&lt;=20000,"Low Income",IF(Sales_Data[[#This Row],[Income]]&lt;=40000,"Lower Middle",IF(Sales_Data[[#This Row],[Income]]&lt;=60000,"Middle Income",IF(Sales_Data[[#This Row],[Income]]&lt;=80000,"Upper Middle","High Income"))))</f>
        <v>Lower Middle</v>
      </c>
      <c r="F616">
        <v>1</v>
      </c>
      <c r="G616" t="s">
        <v>27</v>
      </c>
      <c r="H616" t="s">
        <v>28</v>
      </c>
      <c r="I616" t="s">
        <v>21</v>
      </c>
      <c r="J616">
        <v>1</v>
      </c>
      <c r="K616" t="s">
        <v>43</v>
      </c>
      <c r="L616" t="s">
        <v>63</v>
      </c>
      <c r="M616">
        <v>48</v>
      </c>
      <c r="N616" t="s">
        <v>38</v>
      </c>
      <c r="O616" t="s">
        <v>39</v>
      </c>
      <c r="P616" s="2">
        <v>4096.97</v>
      </c>
      <c r="Q616" t="s">
        <v>58</v>
      </c>
      <c r="R616" s="1">
        <v>45138</v>
      </c>
      <c r="S616" s="1"/>
    </row>
    <row r="617" spans="1:19" x14ac:dyDescent="0.3">
      <c r="A617">
        <v>20528</v>
      </c>
      <c r="B617" t="s">
        <v>17</v>
      </c>
      <c r="C617" t="s">
        <v>17</v>
      </c>
      <c r="D617">
        <v>40000</v>
      </c>
      <c r="E617" t="str">
        <f>IF(Sales_Data[[#This Row],[Income]]&lt;=20000,"Low Income",IF(Sales_Data[[#This Row],[Income]]&lt;=40000,"Lower Middle",IF(Sales_Data[[#This Row],[Income]]&lt;=60000,"Middle Income",IF(Sales_Data[[#This Row],[Income]]&lt;=80000,"Upper Middle","High Income"))))</f>
        <v>Lower Middle</v>
      </c>
      <c r="F617">
        <v>2</v>
      </c>
      <c r="G617" t="s">
        <v>50</v>
      </c>
      <c r="H617" t="s">
        <v>20</v>
      </c>
      <c r="I617" t="s">
        <v>21</v>
      </c>
      <c r="J617">
        <v>2</v>
      </c>
      <c r="K617" t="s">
        <v>33</v>
      </c>
      <c r="L617" t="s">
        <v>63</v>
      </c>
      <c r="M617">
        <v>55</v>
      </c>
      <c r="N617" t="s">
        <v>24</v>
      </c>
      <c r="O617" t="s">
        <v>29</v>
      </c>
      <c r="P617" s="2">
        <v>1842.88</v>
      </c>
      <c r="Q617" t="s">
        <v>60</v>
      </c>
      <c r="R617" s="1">
        <v>45251</v>
      </c>
      <c r="S617" s="1"/>
    </row>
    <row r="618" spans="1:19" x14ac:dyDescent="0.3">
      <c r="A618">
        <v>23549</v>
      </c>
      <c r="B618" t="s">
        <v>35</v>
      </c>
      <c r="C618" t="s">
        <v>17</v>
      </c>
      <c r="D618">
        <v>30000</v>
      </c>
      <c r="E618" t="str">
        <f>IF(Sales_Data[[#This Row],[Income]]&lt;=20000,"Low Income",IF(Sales_Data[[#This Row],[Income]]&lt;=40000,"Lower Middle",IF(Sales_Data[[#This Row],[Income]]&lt;=60000,"Middle Income",IF(Sales_Data[[#This Row],[Income]]&lt;=80000,"Upper Middle","High Income"))))</f>
        <v>Lower Middle</v>
      </c>
      <c r="F618">
        <v>0</v>
      </c>
      <c r="G618" t="s">
        <v>45</v>
      </c>
      <c r="H618" t="s">
        <v>20</v>
      </c>
      <c r="I618" t="s">
        <v>21</v>
      </c>
      <c r="J618">
        <v>2</v>
      </c>
      <c r="K618" t="s">
        <v>36</v>
      </c>
      <c r="L618" t="s">
        <v>63</v>
      </c>
      <c r="M618">
        <v>30</v>
      </c>
      <c r="N618" t="s">
        <v>24</v>
      </c>
      <c r="O618" t="s">
        <v>55</v>
      </c>
      <c r="P618" s="2">
        <v>2591.3000000000002</v>
      </c>
      <c r="Q618" t="s">
        <v>40</v>
      </c>
      <c r="R618" s="1">
        <v>45056</v>
      </c>
      <c r="S618" s="1"/>
    </row>
    <row r="619" spans="1:19" x14ac:dyDescent="0.3">
      <c r="A619">
        <v>18752</v>
      </c>
      <c r="B619" t="s">
        <v>35</v>
      </c>
      <c r="C619" t="s">
        <v>18</v>
      </c>
      <c r="D619">
        <v>40000</v>
      </c>
      <c r="E619" t="str">
        <f>IF(Sales_Data[[#This Row],[Income]]&lt;=20000,"Low Income",IF(Sales_Data[[#This Row],[Income]]&lt;=40000,"Lower Middle",IF(Sales_Data[[#This Row],[Income]]&lt;=60000,"Middle Income",IF(Sales_Data[[#This Row],[Income]]&lt;=80000,"Upper Middle","High Income"))))</f>
        <v>Lower Middle</v>
      </c>
      <c r="F619">
        <v>0</v>
      </c>
      <c r="G619" t="s">
        <v>45</v>
      </c>
      <c r="H619" t="s">
        <v>20</v>
      </c>
      <c r="I619" t="s">
        <v>21</v>
      </c>
      <c r="J619">
        <v>1</v>
      </c>
      <c r="K619" t="s">
        <v>36</v>
      </c>
      <c r="L619" t="s">
        <v>63</v>
      </c>
      <c r="M619">
        <v>31</v>
      </c>
      <c r="N619" t="s">
        <v>24</v>
      </c>
      <c r="O619" t="s">
        <v>49</v>
      </c>
      <c r="P619" s="2">
        <v>3156.13</v>
      </c>
      <c r="Q619" t="s">
        <v>56</v>
      </c>
      <c r="R619" s="1">
        <v>45171</v>
      </c>
      <c r="S619" s="1"/>
    </row>
    <row r="620" spans="1:19" x14ac:dyDescent="0.3">
      <c r="A620">
        <v>25329</v>
      </c>
      <c r="B620" t="s">
        <v>35</v>
      </c>
      <c r="C620" t="s">
        <v>18</v>
      </c>
      <c r="D620">
        <v>40000</v>
      </c>
      <c r="E620" t="str">
        <f>IF(Sales_Data[[#This Row],[Income]]&lt;=20000,"Low Income",IF(Sales_Data[[#This Row],[Income]]&lt;=40000,"Lower Middle",IF(Sales_Data[[#This Row],[Income]]&lt;=60000,"Middle Income",IF(Sales_Data[[#This Row],[Income]]&lt;=80000,"Upper Middle","High Income"))))</f>
        <v>Lower Middle</v>
      </c>
      <c r="F620">
        <v>3</v>
      </c>
      <c r="G620" t="s">
        <v>27</v>
      </c>
      <c r="H620" t="s">
        <v>28</v>
      </c>
      <c r="I620" t="s">
        <v>32</v>
      </c>
      <c r="J620">
        <v>2</v>
      </c>
      <c r="K620" t="s">
        <v>22</v>
      </c>
      <c r="L620" t="s">
        <v>63</v>
      </c>
      <c r="M620">
        <v>32</v>
      </c>
      <c r="N620" t="s">
        <v>38</v>
      </c>
      <c r="O620" t="s">
        <v>54</v>
      </c>
      <c r="P620" s="2">
        <v>9337.0400000000009</v>
      </c>
      <c r="Q620" t="s">
        <v>60</v>
      </c>
      <c r="R620" s="1">
        <v>45259</v>
      </c>
      <c r="S620" s="1"/>
    </row>
    <row r="621" spans="1:19" x14ac:dyDescent="0.3">
      <c r="A621">
        <v>23089</v>
      </c>
      <c r="B621" t="s">
        <v>17</v>
      </c>
      <c r="C621" t="s">
        <v>17</v>
      </c>
      <c r="D621">
        <v>40000</v>
      </c>
      <c r="E621" t="str">
        <f>IF(Sales_Data[[#This Row],[Income]]&lt;=20000,"Low Income",IF(Sales_Data[[#This Row],[Income]]&lt;=40000,"Lower Middle",IF(Sales_Data[[#This Row],[Income]]&lt;=60000,"Middle Income",IF(Sales_Data[[#This Row],[Income]]&lt;=80000,"Upper Middle","High Income"))))</f>
        <v>Lower Middle</v>
      </c>
      <c r="F621">
        <v>0</v>
      </c>
      <c r="G621" t="s">
        <v>27</v>
      </c>
      <c r="H621" t="s">
        <v>20</v>
      </c>
      <c r="I621" t="s">
        <v>21</v>
      </c>
      <c r="J621">
        <v>1</v>
      </c>
      <c r="K621" t="s">
        <v>36</v>
      </c>
      <c r="L621" t="s">
        <v>63</v>
      </c>
      <c r="M621">
        <v>28</v>
      </c>
      <c r="N621" t="s">
        <v>38</v>
      </c>
      <c r="O621" t="s">
        <v>54</v>
      </c>
      <c r="P621" s="2">
        <v>7641.89</v>
      </c>
      <c r="Q621" t="s">
        <v>44</v>
      </c>
      <c r="R621" s="1">
        <v>44950</v>
      </c>
      <c r="S621" s="1"/>
    </row>
    <row r="622" spans="1:19" x14ac:dyDescent="0.3">
      <c r="A622">
        <v>18545</v>
      </c>
      <c r="B622" t="s">
        <v>17</v>
      </c>
      <c r="C622" t="s">
        <v>17</v>
      </c>
      <c r="D622">
        <v>40000</v>
      </c>
      <c r="E622" t="str">
        <f>IF(Sales_Data[[#This Row],[Income]]&lt;=20000,"Low Income",IF(Sales_Data[[#This Row],[Income]]&lt;=40000,"Lower Middle",IF(Sales_Data[[#This Row],[Income]]&lt;=60000,"Middle Income",IF(Sales_Data[[#This Row],[Income]]&lt;=80000,"Upper Middle","High Income"))))</f>
        <v>Lower Middle</v>
      </c>
      <c r="F622">
        <v>4</v>
      </c>
      <c r="G622" t="s">
        <v>45</v>
      </c>
      <c r="H622" t="s">
        <v>31</v>
      </c>
      <c r="I622" t="s">
        <v>32</v>
      </c>
      <c r="J622">
        <v>2</v>
      </c>
      <c r="K622" t="s">
        <v>53</v>
      </c>
      <c r="L622" t="s">
        <v>63</v>
      </c>
      <c r="M622">
        <v>61</v>
      </c>
      <c r="N622" t="s">
        <v>38</v>
      </c>
      <c r="O622" t="s">
        <v>41</v>
      </c>
      <c r="P622" s="2">
        <v>5487.38</v>
      </c>
      <c r="Q622" t="s">
        <v>52</v>
      </c>
      <c r="R622" s="1">
        <v>44965</v>
      </c>
      <c r="S622" s="1"/>
    </row>
    <row r="623" spans="1:19" x14ac:dyDescent="0.3">
      <c r="A623">
        <v>28997</v>
      </c>
      <c r="B623" t="s">
        <v>35</v>
      </c>
      <c r="C623" t="s">
        <v>17</v>
      </c>
      <c r="D623">
        <v>40000</v>
      </c>
      <c r="E623" t="str">
        <f>IF(Sales_Data[[#This Row],[Income]]&lt;=20000,"Low Income",IF(Sales_Data[[#This Row],[Income]]&lt;=40000,"Lower Middle",IF(Sales_Data[[#This Row],[Income]]&lt;=60000,"Middle Income",IF(Sales_Data[[#This Row],[Income]]&lt;=80000,"Upper Middle","High Income"))))</f>
        <v>Lower Middle</v>
      </c>
      <c r="F623">
        <v>2</v>
      </c>
      <c r="G623" t="s">
        <v>45</v>
      </c>
      <c r="H623" t="s">
        <v>31</v>
      </c>
      <c r="I623" t="s">
        <v>32</v>
      </c>
      <c r="J623">
        <v>1</v>
      </c>
      <c r="K623" t="s">
        <v>33</v>
      </c>
      <c r="L623" t="s">
        <v>63</v>
      </c>
      <c r="M623">
        <v>58</v>
      </c>
      <c r="N623" t="s">
        <v>24</v>
      </c>
      <c r="O623" t="s">
        <v>29</v>
      </c>
      <c r="P623" s="2">
        <v>9775.74</v>
      </c>
      <c r="Q623" t="s">
        <v>56</v>
      </c>
      <c r="R623" s="1">
        <v>45175</v>
      </c>
      <c r="S623" s="1"/>
    </row>
    <row r="624" spans="1:19" x14ac:dyDescent="0.3">
      <c r="A624">
        <v>28609</v>
      </c>
      <c r="B624" t="s">
        <v>17</v>
      </c>
      <c r="C624" t="s">
        <v>17</v>
      </c>
      <c r="D624">
        <v>30000</v>
      </c>
      <c r="E624" t="str">
        <f>IF(Sales_Data[[#This Row],[Income]]&lt;=20000,"Low Income",IF(Sales_Data[[#This Row],[Income]]&lt;=40000,"Lower Middle",IF(Sales_Data[[#This Row],[Income]]&lt;=60000,"Middle Income",IF(Sales_Data[[#This Row],[Income]]&lt;=80000,"Upper Middle","High Income"))))</f>
        <v>Lower Middle</v>
      </c>
      <c r="F624">
        <v>2</v>
      </c>
      <c r="G624" t="s">
        <v>45</v>
      </c>
      <c r="H624" t="s">
        <v>20</v>
      </c>
      <c r="I624" t="s">
        <v>32</v>
      </c>
      <c r="J624">
        <v>2</v>
      </c>
      <c r="K624" t="s">
        <v>22</v>
      </c>
      <c r="L624" t="s">
        <v>63</v>
      </c>
      <c r="M624">
        <v>49</v>
      </c>
      <c r="N624" t="s">
        <v>38</v>
      </c>
      <c r="O624" t="s">
        <v>47</v>
      </c>
      <c r="P624" s="2">
        <v>171.12</v>
      </c>
      <c r="Q624" t="s">
        <v>56</v>
      </c>
      <c r="R624" s="1">
        <v>45178</v>
      </c>
      <c r="S624" s="1"/>
    </row>
    <row r="625" spans="1:19" x14ac:dyDescent="0.3">
      <c r="A625">
        <v>25261</v>
      </c>
      <c r="B625" t="s">
        <v>17</v>
      </c>
      <c r="C625" t="s">
        <v>17</v>
      </c>
      <c r="D625">
        <v>40000</v>
      </c>
      <c r="E625" t="str">
        <f>IF(Sales_Data[[#This Row],[Income]]&lt;=20000,"Low Income",IF(Sales_Data[[#This Row],[Income]]&lt;=40000,"Lower Middle",IF(Sales_Data[[#This Row],[Income]]&lt;=60000,"Middle Income",IF(Sales_Data[[#This Row],[Income]]&lt;=80000,"Upper Middle","High Income"))))</f>
        <v>Lower Middle</v>
      </c>
      <c r="F625">
        <v>0</v>
      </c>
      <c r="G625" t="s">
        <v>45</v>
      </c>
      <c r="H625" t="s">
        <v>20</v>
      </c>
      <c r="I625" t="s">
        <v>21</v>
      </c>
      <c r="J625">
        <v>2</v>
      </c>
      <c r="K625" t="s">
        <v>36</v>
      </c>
      <c r="L625" t="s">
        <v>63</v>
      </c>
      <c r="M625">
        <v>27</v>
      </c>
      <c r="N625" t="s">
        <v>38</v>
      </c>
      <c r="O625" t="s">
        <v>62</v>
      </c>
      <c r="P625" s="2">
        <v>6318.35</v>
      </c>
      <c r="Q625" t="s">
        <v>58</v>
      </c>
      <c r="R625" s="1">
        <v>45132</v>
      </c>
      <c r="S625" s="1"/>
    </row>
    <row r="626" spans="1:19" x14ac:dyDescent="0.3">
      <c r="A626">
        <v>11644</v>
      </c>
      <c r="B626" t="s">
        <v>35</v>
      </c>
      <c r="C626" t="s">
        <v>17</v>
      </c>
      <c r="D626">
        <v>40000</v>
      </c>
      <c r="E626" t="str">
        <f>IF(Sales_Data[[#This Row],[Income]]&lt;=20000,"Low Income",IF(Sales_Data[[#This Row],[Income]]&lt;=40000,"Lower Middle",IF(Sales_Data[[#This Row],[Income]]&lt;=60000,"Middle Income",IF(Sales_Data[[#This Row],[Income]]&lt;=80000,"Upper Middle","High Income"))))</f>
        <v>Lower Middle</v>
      </c>
      <c r="F626">
        <v>2</v>
      </c>
      <c r="G626" t="s">
        <v>19</v>
      </c>
      <c r="H626" t="s">
        <v>20</v>
      </c>
      <c r="I626" t="s">
        <v>21</v>
      </c>
      <c r="J626">
        <v>0</v>
      </c>
      <c r="K626" t="s">
        <v>33</v>
      </c>
      <c r="L626" t="s">
        <v>63</v>
      </c>
      <c r="M626">
        <v>36</v>
      </c>
      <c r="N626" t="s">
        <v>38</v>
      </c>
      <c r="O626" t="s">
        <v>62</v>
      </c>
      <c r="P626" s="2">
        <v>8355.0499999999993</v>
      </c>
      <c r="Q626" t="s">
        <v>26</v>
      </c>
      <c r="R626" s="1">
        <v>45280</v>
      </c>
      <c r="S626" s="1"/>
    </row>
    <row r="627" spans="1:19" x14ac:dyDescent="0.3">
      <c r="A627">
        <v>22983</v>
      </c>
      <c r="B627" t="s">
        <v>35</v>
      </c>
      <c r="C627" t="s">
        <v>18</v>
      </c>
      <c r="D627">
        <v>30000</v>
      </c>
      <c r="E627" t="str">
        <f>IF(Sales_Data[[#This Row],[Income]]&lt;=20000,"Low Income",IF(Sales_Data[[#This Row],[Income]]&lt;=40000,"Lower Middle",IF(Sales_Data[[#This Row],[Income]]&lt;=60000,"Middle Income",IF(Sales_Data[[#This Row],[Income]]&lt;=80000,"Upper Middle","High Income"))))</f>
        <v>Lower Middle</v>
      </c>
      <c r="F627">
        <v>0</v>
      </c>
      <c r="G627" t="s">
        <v>50</v>
      </c>
      <c r="H627" t="s">
        <v>28</v>
      </c>
      <c r="I627" t="s">
        <v>21</v>
      </c>
      <c r="J627">
        <v>2</v>
      </c>
      <c r="K627" t="s">
        <v>36</v>
      </c>
      <c r="L627" t="s">
        <v>63</v>
      </c>
      <c r="M627">
        <v>27</v>
      </c>
      <c r="N627" t="s">
        <v>24</v>
      </c>
      <c r="O627" t="s">
        <v>29</v>
      </c>
      <c r="P627" s="2">
        <v>3463.69</v>
      </c>
      <c r="Q627" t="s">
        <v>57</v>
      </c>
      <c r="R627" s="1">
        <v>45208</v>
      </c>
      <c r="S627" s="1"/>
    </row>
    <row r="628" spans="1:19" x14ac:dyDescent="0.3">
      <c r="A628">
        <v>17858</v>
      </c>
      <c r="B628" t="s">
        <v>17</v>
      </c>
      <c r="C628" t="s">
        <v>17</v>
      </c>
      <c r="D628">
        <v>40000</v>
      </c>
      <c r="E628" t="str">
        <f>IF(Sales_Data[[#This Row],[Income]]&lt;=20000,"Low Income",IF(Sales_Data[[#This Row],[Income]]&lt;=40000,"Lower Middle",IF(Sales_Data[[#This Row],[Income]]&lt;=60000,"Middle Income",IF(Sales_Data[[#This Row],[Income]]&lt;=80000,"Upper Middle","High Income"))))</f>
        <v>Lower Middle</v>
      </c>
      <c r="F628">
        <v>4</v>
      </c>
      <c r="G628" t="s">
        <v>45</v>
      </c>
      <c r="H628" t="s">
        <v>20</v>
      </c>
      <c r="I628" t="s">
        <v>21</v>
      </c>
      <c r="J628">
        <v>2</v>
      </c>
      <c r="K628" t="s">
        <v>33</v>
      </c>
      <c r="L628" t="s">
        <v>63</v>
      </c>
      <c r="M628">
        <v>44</v>
      </c>
      <c r="N628" t="s">
        <v>38</v>
      </c>
      <c r="O628" t="s">
        <v>62</v>
      </c>
      <c r="P628" s="2">
        <v>3909.99</v>
      </c>
      <c r="Q628" t="s">
        <v>59</v>
      </c>
      <c r="R628" s="1">
        <v>45029</v>
      </c>
      <c r="S628" s="1"/>
    </row>
    <row r="629" spans="1:19" x14ac:dyDescent="0.3">
      <c r="A629">
        <v>15814</v>
      </c>
      <c r="B629" t="s">
        <v>35</v>
      </c>
      <c r="C629" t="s">
        <v>18</v>
      </c>
      <c r="D629">
        <v>40000</v>
      </c>
      <c r="E629" t="str">
        <f>IF(Sales_Data[[#This Row],[Income]]&lt;=20000,"Low Income",IF(Sales_Data[[#This Row],[Income]]&lt;=40000,"Lower Middle",IF(Sales_Data[[#This Row],[Income]]&lt;=60000,"Middle Income",IF(Sales_Data[[#This Row],[Income]]&lt;=80000,"Upper Middle","High Income"))))</f>
        <v>Lower Middle</v>
      </c>
      <c r="F629">
        <v>0</v>
      </c>
      <c r="G629" t="s">
        <v>45</v>
      </c>
      <c r="H629" t="s">
        <v>20</v>
      </c>
      <c r="I629" t="s">
        <v>21</v>
      </c>
      <c r="J629">
        <v>1</v>
      </c>
      <c r="K629" t="s">
        <v>36</v>
      </c>
      <c r="L629" t="s">
        <v>63</v>
      </c>
      <c r="M629">
        <v>30</v>
      </c>
      <c r="N629" t="s">
        <v>38</v>
      </c>
      <c r="O629" t="s">
        <v>47</v>
      </c>
      <c r="P629" s="2">
        <v>6182.57</v>
      </c>
      <c r="Q629" t="s">
        <v>52</v>
      </c>
      <c r="R629" s="1">
        <v>44967</v>
      </c>
      <c r="S629" s="1"/>
    </row>
    <row r="630" spans="1:19" x14ac:dyDescent="0.3">
      <c r="A630">
        <v>27753</v>
      </c>
      <c r="B630" t="s">
        <v>17</v>
      </c>
      <c r="C630" t="s">
        <v>17</v>
      </c>
      <c r="D630">
        <v>40000</v>
      </c>
      <c r="E630" t="str">
        <f>IF(Sales_Data[[#This Row],[Income]]&lt;=20000,"Low Income",IF(Sales_Data[[#This Row],[Income]]&lt;=40000,"Lower Middle",IF(Sales_Data[[#This Row],[Income]]&lt;=60000,"Middle Income",IF(Sales_Data[[#This Row],[Income]]&lt;=80000,"Upper Middle","High Income"))))</f>
        <v>Lower Middle</v>
      </c>
      <c r="F630">
        <v>0</v>
      </c>
      <c r="G630" t="s">
        <v>45</v>
      </c>
      <c r="H630" t="s">
        <v>20</v>
      </c>
      <c r="I630" t="s">
        <v>32</v>
      </c>
      <c r="J630">
        <v>2</v>
      </c>
      <c r="K630" t="s">
        <v>43</v>
      </c>
      <c r="L630" t="s">
        <v>63</v>
      </c>
      <c r="M630">
        <v>30</v>
      </c>
      <c r="N630" t="s">
        <v>38</v>
      </c>
      <c r="O630" t="s">
        <v>54</v>
      </c>
      <c r="P630" s="2">
        <v>2419.14</v>
      </c>
      <c r="Q630" t="s">
        <v>59</v>
      </c>
      <c r="R630" s="1">
        <v>45039</v>
      </c>
      <c r="S630" s="1"/>
    </row>
    <row r="631" spans="1:19" x14ac:dyDescent="0.3">
      <c r="A631">
        <v>24745</v>
      </c>
      <c r="B631" t="s">
        <v>35</v>
      </c>
      <c r="C631" t="s">
        <v>18</v>
      </c>
      <c r="D631">
        <v>30000</v>
      </c>
      <c r="E631" t="str">
        <f>IF(Sales_Data[[#This Row],[Income]]&lt;=20000,"Low Income",IF(Sales_Data[[#This Row],[Income]]&lt;=40000,"Lower Middle",IF(Sales_Data[[#This Row],[Income]]&lt;=60000,"Middle Income",IF(Sales_Data[[#This Row],[Income]]&lt;=80000,"Upper Middle","High Income"))))</f>
        <v>Lower Middle</v>
      </c>
      <c r="F631">
        <v>2</v>
      </c>
      <c r="G631" t="s">
        <v>45</v>
      </c>
      <c r="H631" t="s">
        <v>20</v>
      </c>
      <c r="I631" t="s">
        <v>32</v>
      </c>
      <c r="J631">
        <v>2</v>
      </c>
      <c r="K631" t="s">
        <v>22</v>
      </c>
      <c r="L631" t="s">
        <v>63</v>
      </c>
      <c r="M631">
        <v>49</v>
      </c>
      <c r="N631" t="s">
        <v>24</v>
      </c>
      <c r="O631" t="s">
        <v>29</v>
      </c>
      <c r="P631" s="2">
        <v>6632.57</v>
      </c>
      <c r="Q631" t="s">
        <v>26</v>
      </c>
      <c r="R631" s="1">
        <v>45283</v>
      </c>
      <c r="S631" s="1"/>
    </row>
    <row r="632" spans="1:19" x14ac:dyDescent="0.3">
      <c r="A632">
        <v>15272</v>
      </c>
      <c r="B632" t="s">
        <v>35</v>
      </c>
      <c r="C632" t="s">
        <v>17</v>
      </c>
      <c r="D632">
        <v>40000</v>
      </c>
      <c r="E632" t="str">
        <f>IF(Sales_Data[[#This Row],[Income]]&lt;=20000,"Low Income",IF(Sales_Data[[#This Row],[Income]]&lt;=40000,"Lower Middle",IF(Sales_Data[[#This Row],[Income]]&lt;=60000,"Middle Income",IF(Sales_Data[[#This Row],[Income]]&lt;=80000,"Upper Middle","High Income"))))</f>
        <v>Lower Middle</v>
      </c>
      <c r="F632">
        <v>0</v>
      </c>
      <c r="G632" t="s">
        <v>45</v>
      </c>
      <c r="H632" t="s">
        <v>20</v>
      </c>
      <c r="I632" t="s">
        <v>32</v>
      </c>
      <c r="J632">
        <v>2</v>
      </c>
      <c r="K632" t="s">
        <v>43</v>
      </c>
      <c r="L632" t="s">
        <v>63</v>
      </c>
      <c r="M632">
        <v>30</v>
      </c>
      <c r="N632" t="s">
        <v>38</v>
      </c>
      <c r="O632" t="s">
        <v>47</v>
      </c>
      <c r="P632" s="2">
        <v>1758.34</v>
      </c>
      <c r="Q632" t="s">
        <v>59</v>
      </c>
      <c r="R632" s="1">
        <v>45036</v>
      </c>
      <c r="S632" s="1"/>
    </row>
    <row r="633" spans="1:19" x14ac:dyDescent="0.3">
      <c r="A633">
        <v>22010</v>
      </c>
      <c r="B633" t="s">
        <v>35</v>
      </c>
      <c r="C633" t="s">
        <v>17</v>
      </c>
      <c r="D633">
        <v>40000</v>
      </c>
      <c r="E633" t="str">
        <f>IF(Sales_Data[[#This Row],[Income]]&lt;=20000,"Low Income",IF(Sales_Data[[#This Row],[Income]]&lt;=40000,"Lower Middle",IF(Sales_Data[[#This Row],[Income]]&lt;=60000,"Middle Income",IF(Sales_Data[[#This Row],[Income]]&lt;=80000,"Upper Middle","High Income"))))</f>
        <v>Lower Middle</v>
      </c>
      <c r="F633">
        <v>0</v>
      </c>
      <c r="G633" t="s">
        <v>45</v>
      </c>
      <c r="H633" t="s">
        <v>20</v>
      </c>
      <c r="I633" t="s">
        <v>21</v>
      </c>
      <c r="J633">
        <v>2</v>
      </c>
      <c r="K633" t="s">
        <v>36</v>
      </c>
      <c r="L633" t="s">
        <v>63</v>
      </c>
      <c r="M633">
        <v>31</v>
      </c>
      <c r="N633" t="s">
        <v>38</v>
      </c>
      <c r="O633" t="s">
        <v>41</v>
      </c>
      <c r="P633" s="2">
        <v>2846.91</v>
      </c>
      <c r="Q633" t="s">
        <v>58</v>
      </c>
      <c r="R633" s="1">
        <v>45136</v>
      </c>
      <c r="S633" s="1"/>
    </row>
    <row r="634" spans="1:19" x14ac:dyDescent="0.3">
      <c r="A634">
        <v>13066</v>
      </c>
      <c r="B634" t="s">
        <v>35</v>
      </c>
      <c r="C634" t="s">
        <v>17</v>
      </c>
      <c r="D634">
        <v>30000</v>
      </c>
      <c r="E634" t="str">
        <f>IF(Sales_Data[[#This Row],[Income]]&lt;=20000,"Low Income",IF(Sales_Data[[#This Row],[Income]]&lt;=40000,"Lower Middle",IF(Sales_Data[[#This Row],[Income]]&lt;=60000,"Middle Income",IF(Sales_Data[[#This Row],[Income]]&lt;=80000,"Upper Middle","High Income"))))</f>
        <v>Lower Middle</v>
      </c>
      <c r="F634">
        <v>0</v>
      </c>
      <c r="G634" t="s">
        <v>45</v>
      </c>
      <c r="H634" t="s">
        <v>20</v>
      </c>
      <c r="I634" t="s">
        <v>32</v>
      </c>
      <c r="J634">
        <v>2</v>
      </c>
      <c r="K634" t="s">
        <v>43</v>
      </c>
      <c r="L634" t="s">
        <v>63</v>
      </c>
      <c r="M634">
        <v>31</v>
      </c>
      <c r="N634" t="s">
        <v>38</v>
      </c>
      <c r="O634" t="s">
        <v>54</v>
      </c>
      <c r="P634" s="2">
        <v>2577.77</v>
      </c>
      <c r="Q634" t="s">
        <v>51</v>
      </c>
      <c r="R634" s="1">
        <v>45088</v>
      </c>
      <c r="S634" s="1"/>
    </row>
    <row r="635" spans="1:19" x14ac:dyDescent="0.3">
      <c r="A635">
        <v>29106</v>
      </c>
      <c r="B635" t="s">
        <v>35</v>
      </c>
      <c r="C635" t="s">
        <v>17</v>
      </c>
      <c r="D635">
        <v>40000</v>
      </c>
      <c r="E635" t="str">
        <f>IF(Sales_Data[[#This Row],[Income]]&lt;=20000,"Low Income",IF(Sales_Data[[#This Row],[Income]]&lt;=40000,"Lower Middle",IF(Sales_Data[[#This Row],[Income]]&lt;=60000,"Middle Income",IF(Sales_Data[[#This Row],[Income]]&lt;=80000,"Upper Middle","High Income"))))</f>
        <v>Lower Middle</v>
      </c>
      <c r="F635">
        <v>0</v>
      </c>
      <c r="G635" t="s">
        <v>45</v>
      </c>
      <c r="H635" t="s">
        <v>20</v>
      </c>
      <c r="I635" t="s">
        <v>32</v>
      </c>
      <c r="J635">
        <v>2</v>
      </c>
      <c r="K635" t="s">
        <v>43</v>
      </c>
      <c r="L635" t="s">
        <v>63</v>
      </c>
      <c r="M635">
        <v>31</v>
      </c>
      <c r="N635" t="s">
        <v>38</v>
      </c>
      <c r="O635" t="s">
        <v>47</v>
      </c>
      <c r="P635" s="2">
        <v>9384.69</v>
      </c>
      <c r="Q635" t="s">
        <v>57</v>
      </c>
      <c r="R635" s="1">
        <v>45227</v>
      </c>
      <c r="S635" s="1"/>
    </row>
    <row r="636" spans="1:19" x14ac:dyDescent="0.3">
      <c r="A636">
        <v>26236</v>
      </c>
      <c r="B636" t="s">
        <v>17</v>
      </c>
      <c r="C636" t="s">
        <v>18</v>
      </c>
      <c r="D636">
        <v>40000</v>
      </c>
      <c r="E636" t="str">
        <f>IF(Sales_Data[[#This Row],[Income]]&lt;=20000,"Low Income",IF(Sales_Data[[#This Row],[Income]]&lt;=40000,"Lower Middle",IF(Sales_Data[[#This Row],[Income]]&lt;=60000,"Middle Income",IF(Sales_Data[[#This Row],[Income]]&lt;=80000,"Upper Middle","High Income"))))</f>
        <v>Lower Middle</v>
      </c>
      <c r="F636">
        <v>3</v>
      </c>
      <c r="G636" t="s">
        <v>27</v>
      </c>
      <c r="H636" t="s">
        <v>28</v>
      </c>
      <c r="I636" t="s">
        <v>21</v>
      </c>
      <c r="J636">
        <v>1</v>
      </c>
      <c r="K636" t="s">
        <v>22</v>
      </c>
      <c r="L636" t="s">
        <v>63</v>
      </c>
      <c r="M636">
        <v>31</v>
      </c>
      <c r="N636" t="s">
        <v>38</v>
      </c>
      <c r="O636" t="s">
        <v>54</v>
      </c>
      <c r="P636" s="2">
        <v>2953.94</v>
      </c>
      <c r="Q636" t="s">
        <v>58</v>
      </c>
      <c r="R636" s="1">
        <v>45129</v>
      </c>
      <c r="S636" s="1"/>
    </row>
    <row r="637" spans="1:19" x14ac:dyDescent="0.3">
      <c r="A637">
        <v>22976</v>
      </c>
      <c r="B637" t="s">
        <v>35</v>
      </c>
      <c r="C637" t="s">
        <v>17</v>
      </c>
      <c r="D637">
        <v>40000</v>
      </c>
      <c r="E637" t="str">
        <f>IF(Sales_Data[[#This Row],[Income]]&lt;=20000,"Low Income",IF(Sales_Data[[#This Row],[Income]]&lt;=40000,"Lower Middle",IF(Sales_Data[[#This Row],[Income]]&lt;=60000,"Middle Income",IF(Sales_Data[[#This Row],[Income]]&lt;=80000,"Upper Middle","High Income"))))</f>
        <v>Lower Middle</v>
      </c>
      <c r="F637">
        <v>0</v>
      </c>
      <c r="G637" t="s">
        <v>45</v>
      </c>
      <c r="H637" t="s">
        <v>20</v>
      </c>
      <c r="I637" t="s">
        <v>32</v>
      </c>
      <c r="J637">
        <v>2</v>
      </c>
      <c r="K637" t="s">
        <v>22</v>
      </c>
      <c r="L637" t="s">
        <v>63</v>
      </c>
      <c r="M637">
        <v>28</v>
      </c>
      <c r="N637" t="s">
        <v>38</v>
      </c>
      <c r="O637" t="s">
        <v>39</v>
      </c>
      <c r="P637" s="2">
        <v>6299.98</v>
      </c>
      <c r="Q637" t="s">
        <v>26</v>
      </c>
      <c r="R637" s="1">
        <v>45261</v>
      </c>
      <c r="S637" s="1"/>
    </row>
    <row r="638" spans="1:19" x14ac:dyDescent="0.3">
      <c r="A638">
        <v>20505</v>
      </c>
      <c r="B638" t="s">
        <v>17</v>
      </c>
      <c r="C638" t="s">
        <v>18</v>
      </c>
      <c r="D638">
        <v>40000</v>
      </c>
      <c r="E638" t="str">
        <f>IF(Sales_Data[[#This Row],[Income]]&lt;=20000,"Low Income",IF(Sales_Data[[#This Row],[Income]]&lt;=40000,"Lower Middle",IF(Sales_Data[[#This Row],[Income]]&lt;=60000,"Middle Income",IF(Sales_Data[[#This Row],[Income]]&lt;=80000,"Upper Middle","High Income"))))</f>
        <v>Lower Middle</v>
      </c>
      <c r="F638">
        <v>5</v>
      </c>
      <c r="G638" t="s">
        <v>45</v>
      </c>
      <c r="H638" t="s">
        <v>31</v>
      </c>
      <c r="I638" t="s">
        <v>32</v>
      </c>
      <c r="J638">
        <v>2</v>
      </c>
      <c r="K638" t="s">
        <v>53</v>
      </c>
      <c r="L638" t="s">
        <v>63</v>
      </c>
      <c r="M638">
        <v>61</v>
      </c>
      <c r="N638" t="s">
        <v>24</v>
      </c>
      <c r="O638" t="s">
        <v>25</v>
      </c>
      <c r="P638" s="2">
        <v>9129.77</v>
      </c>
      <c r="Q638" t="s">
        <v>57</v>
      </c>
      <c r="R638" s="1">
        <v>45222</v>
      </c>
      <c r="S638" s="1"/>
    </row>
    <row r="639" spans="1:19" x14ac:dyDescent="0.3">
      <c r="A639">
        <v>21260</v>
      </c>
      <c r="B639" t="s">
        <v>35</v>
      </c>
      <c r="C639" t="s">
        <v>18</v>
      </c>
      <c r="D639">
        <v>40000</v>
      </c>
      <c r="E639" t="str">
        <f>IF(Sales_Data[[#This Row],[Income]]&lt;=20000,"Low Income",IF(Sales_Data[[#This Row],[Income]]&lt;=40000,"Lower Middle",IF(Sales_Data[[#This Row],[Income]]&lt;=60000,"Middle Income",IF(Sales_Data[[#This Row],[Income]]&lt;=80000,"Upper Middle","High Income"))))</f>
        <v>Lower Middle</v>
      </c>
      <c r="F639">
        <v>0</v>
      </c>
      <c r="G639" t="s">
        <v>45</v>
      </c>
      <c r="H639" t="s">
        <v>20</v>
      </c>
      <c r="I639" t="s">
        <v>21</v>
      </c>
      <c r="J639">
        <v>2</v>
      </c>
      <c r="K639" t="s">
        <v>36</v>
      </c>
      <c r="L639" t="s">
        <v>63</v>
      </c>
      <c r="M639">
        <v>30</v>
      </c>
      <c r="N639" t="s">
        <v>24</v>
      </c>
      <c r="O639" t="s">
        <v>49</v>
      </c>
      <c r="P639" s="2">
        <v>474.63</v>
      </c>
      <c r="Q639" t="s">
        <v>30</v>
      </c>
      <c r="R639" s="1">
        <v>45016</v>
      </c>
      <c r="S639" s="1"/>
    </row>
    <row r="640" spans="1:19" x14ac:dyDescent="0.3">
      <c r="A640">
        <v>19223</v>
      </c>
      <c r="B640" t="s">
        <v>17</v>
      </c>
      <c r="C640" t="s">
        <v>18</v>
      </c>
      <c r="D640">
        <v>30000</v>
      </c>
      <c r="E640" t="str">
        <f>IF(Sales_Data[[#This Row],[Income]]&lt;=20000,"Low Income",IF(Sales_Data[[#This Row],[Income]]&lt;=40000,"Lower Middle",IF(Sales_Data[[#This Row],[Income]]&lt;=60000,"Middle Income",IF(Sales_Data[[#This Row],[Income]]&lt;=80000,"Upper Middle","High Income"))))</f>
        <v>Lower Middle</v>
      </c>
      <c r="F640">
        <v>2</v>
      </c>
      <c r="G640" t="s">
        <v>45</v>
      </c>
      <c r="H640" t="s">
        <v>20</v>
      </c>
      <c r="I640" t="s">
        <v>21</v>
      </c>
      <c r="J640">
        <v>2</v>
      </c>
      <c r="K640" t="s">
        <v>43</v>
      </c>
      <c r="L640" t="s">
        <v>63</v>
      </c>
      <c r="M640">
        <v>48</v>
      </c>
      <c r="N640" t="s">
        <v>24</v>
      </c>
      <c r="O640" t="s">
        <v>49</v>
      </c>
      <c r="P640" s="2">
        <v>2257.13</v>
      </c>
      <c r="Q640" t="s">
        <v>60</v>
      </c>
      <c r="R640" s="1">
        <v>45231</v>
      </c>
      <c r="S640" s="1"/>
    </row>
    <row r="641" spans="1:19" x14ac:dyDescent="0.3">
      <c r="A641">
        <v>21717</v>
      </c>
      <c r="B641" t="s">
        <v>17</v>
      </c>
      <c r="C641" t="s">
        <v>17</v>
      </c>
      <c r="D641">
        <v>40000</v>
      </c>
      <c r="E641" t="str">
        <f>IF(Sales_Data[[#This Row],[Income]]&lt;=20000,"Low Income",IF(Sales_Data[[#This Row],[Income]]&lt;=40000,"Lower Middle",IF(Sales_Data[[#This Row],[Income]]&lt;=60000,"Middle Income",IF(Sales_Data[[#This Row],[Income]]&lt;=80000,"Upper Middle","High Income"))))</f>
        <v>Lower Middle</v>
      </c>
      <c r="F641">
        <v>2</v>
      </c>
      <c r="G641" t="s">
        <v>27</v>
      </c>
      <c r="H641" t="s">
        <v>28</v>
      </c>
      <c r="I641" t="s">
        <v>21</v>
      </c>
      <c r="J641">
        <v>1</v>
      </c>
      <c r="K641" t="s">
        <v>22</v>
      </c>
      <c r="L641" t="s">
        <v>63</v>
      </c>
      <c r="M641">
        <v>47</v>
      </c>
      <c r="N641" t="s">
        <v>38</v>
      </c>
      <c r="O641" t="s">
        <v>54</v>
      </c>
      <c r="P641" s="2">
        <v>192.92</v>
      </c>
      <c r="Q641" t="s">
        <v>26</v>
      </c>
      <c r="R641" s="1">
        <v>45268</v>
      </c>
      <c r="S641" s="1"/>
    </row>
    <row r="642" spans="1:19" x14ac:dyDescent="0.3">
      <c r="A642">
        <v>12774</v>
      </c>
      <c r="B642" t="s">
        <v>17</v>
      </c>
      <c r="C642" t="s">
        <v>18</v>
      </c>
      <c r="D642">
        <v>40000</v>
      </c>
      <c r="E642" t="str">
        <f>IF(Sales_Data[[#This Row],[Income]]&lt;=20000,"Low Income",IF(Sales_Data[[#This Row],[Income]]&lt;=40000,"Lower Middle",IF(Sales_Data[[#This Row],[Income]]&lt;=60000,"Middle Income",IF(Sales_Data[[#This Row],[Income]]&lt;=80000,"Upper Middle","High Income"))))</f>
        <v>Lower Middle</v>
      </c>
      <c r="F642">
        <v>1</v>
      </c>
      <c r="G642" t="s">
        <v>27</v>
      </c>
      <c r="H642" t="s">
        <v>28</v>
      </c>
      <c r="I642" t="s">
        <v>21</v>
      </c>
      <c r="J642">
        <v>1</v>
      </c>
      <c r="K642" t="s">
        <v>43</v>
      </c>
      <c r="L642" t="s">
        <v>63</v>
      </c>
      <c r="M642">
        <v>51</v>
      </c>
      <c r="N642" t="s">
        <v>24</v>
      </c>
      <c r="O642" t="s">
        <v>25</v>
      </c>
      <c r="P642" s="2">
        <v>8323.14</v>
      </c>
      <c r="Q642" t="s">
        <v>57</v>
      </c>
      <c r="R642" s="1">
        <v>45213</v>
      </c>
      <c r="S642" s="1"/>
    </row>
    <row r="643" spans="1:19" x14ac:dyDescent="0.3">
      <c r="A643">
        <v>18910</v>
      </c>
      <c r="B643" t="s">
        <v>35</v>
      </c>
      <c r="C643" t="s">
        <v>17</v>
      </c>
      <c r="D643">
        <v>30000</v>
      </c>
      <c r="E643" t="str">
        <f>IF(Sales_Data[[#This Row],[Income]]&lt;=20000,"Low Income",IF(Sales_Data[[#This Row],[Income]]&lt;=40000,"Lower Middle",IF(Sales_Data[[#This Row],[Income]]&lt;=60000,"Middle Income",IF(Sales_Data[[#This Row],[Income]]&lt;=80000,"Upper Middle","High Income"))))</f>
        <v>Lower Middle</v>
      </c>
      <c r="F643">
        <v>0</v>
      </c>
      <c r="G643" t="s">
        <v>27</v>
      </c>
      <c r="H643" t="s">
        <v>20</v>
      </c>
      <c r="I643" t="s">
        <v>21</v>
      </c>
      <c r="J643">
        <v>2</v>
      </c>
      <c r="K643" t="s">
        <v>36</v>
      </c>
      <c r="L643" t="s">
        <v>63</v>
      </c>
      <c r="M643">
        <v>30</v>
      </c>
      <c r="N643" t="s">
        <v>24</v>
      </c>
      <c r="O643" t="s">
        <v>49</v>
      </c>
      <c r="P643" s="2">
        <v>6561.23</v>
      </c>
      <c r="Q643" t="s">
        <v>48</v>
      </c>
      <c r="R643" s="1">
        <v>45162</v>
      </c>
      <c r="S643" s="1"/>
    </row>
    <row r="644" spans="1:19" x14ac:dyDescent="0.3">
      <c r="A644">
        <v>16725</v>
      </c>
      <c r="B644" t="s">
        <v>17</v>
      </c>
      <c r="C644" t="s">
        <v>17</v>
      </c>
      <c r="D644">
        <v>30000</v>
      </c>
      <c r="E644" t="str">
        <f>IF(Sales_Data[[#This Row],[Income]]&lt;=20000,"Low Income",IF(Sales_Data[[#This Row],[Income]]&lt;=40000,"Lower Middle",IF(Sales_Data[[#This Row],[Income]]&lt;=60000,"Middle Income",IF(Sales_Data[[#This Row],[Income]]&lt;=80000,"Upper Middle","High Income"))))</f>
        <v>Lower Middle</v>
      </c>
      <c r="F644">
        <v>0</v>
      </c>
      <c r="G644" t="s">
        <v>45</v>
      </c>
      <c r="H644" t="s">
        <v>20</v>
      </c>
      <c r="I644" t="s">
        <v>21</v>
      </c>
      <c r="J644">
        <v>2</v>
      </c>
      <c r="K644" t="s">
        <v>36</v>
      </c>
      <c r="L644" t="s">
        <v>63</v>
      </c>
      <c r="M644">
        <v>26</v>
      </c>
      <c r="N644" t="s">
        <v>24</v>
      </c>
      <c r="O644" t="s">
        <v>55</v>
      </c>
      <c r="P644" s="2">
        <v>8413.5499999999993</v>
      </c>
      <c r="Q644" t="s">
        <v>56</v>
      </c>
      <c r="R644" s="1">
        <v>45173</v>
      </c>
      <c r="S644" s="1"/>
    </row>
    <row r="645" spans="1:19" x14ac:dyDescent="0.3">
      <c r="A645">
        <v>14090</v>
      </c>
      <c r="B645" t="s">
        <v>17</v>
      </c>
      <c r="C645" t="s">
        <v>18</v>
      </c>
      <c r="D645">
        <v>30000</v>
      </c>
      <c r="E645" t="str">
        <f>IF(Sales_Data[[#This Row],[Income]]&lt;=20000,"Low Income",IF(Sales_Data[[#This Row],[Income]]&lt;=40000,"Lower Middle",IF(Sales_Data[[#This Row],[Income]]&lt;=60000,"Middle Income",IF(Sales_Data[[#This Row],[Income]]&lt;=80000,"Upper Middle","High Income"))))</f>
        <v>Lower Middle</v>
      </c>
      <c r="F645">
        <v>0</v>
      </c>
      <c r="G645" t="s">
        <v>50</v>
      </c>
      <c r="H645" t="s">
        <v>28</v>
      </c>
      <c r="I645" t="s">
        <v>32</v>
      </c>
      <c r="J645">
        <v>2</v>
      </c>
      <c r="K645" t="s">
        <v>22</v>
      </c>
      <c r="L645" t="s">
        <v>63</v>
      </c>
      <c r="M645">
        <v>28</v>
      </c>
      <c r="N645" t="s">
        <v>24</v>
      </c>
      <c r="O645" t="s">
        <v>49</v>
      </c>
      <c r="P645" s="2">
        <v>4827.55</v>
      </c>
      <c r="Q645" t="s">
        <v>57</v>
      </c>
      <c r="R645" s="1">
        <v>45214</v>
      </c>
      <c r="S645" s="1"/>
    </row>
    <row r="646" spans="1:19" x14ac:dyDescent="0.3">
      <c r="A646">
        <v>22014</v>
      </c>
      <c r="B646" t="s">
        <v>35</v>
      </c>
      <c r="C646" t="s">
        <v>17</v>
      </c>
      <c r="D646">
        <v>30000</v>
      </c>
      <c r="E646" t="str">
        <f>IF(Sales_Data[[#This Row],[Income]]&lt;=20000,"Low Income",IF(Sales_Data[[#This Row],[Income]]&lt;=40000,"Lower Middle",IF(Sales_Data[[#This Row],[Income]]&lt;=60000,"Middle Income",IF(Sales_Data[[#This Row],[Income]]&lt;=80000,"Upper Middle","High Income"))))</f>
        <v>Lower Middle</v>
      </c>
      <c r="F646">
        <v>0</v>
      </c>
      <c r="G646" t="s">
        <v>45</v>
      </c>
      <c r="H646" t="s">
        <v>20</v>
      </c>
      <c r="I646" t="s">
        <v>21</v>
      </c>
      <c r="J646">
        <v>2</v>
      </c>
      <c r="K646" t="s">
        <v>36</v>
      </c>
      <c r="L646" t="s">
        <v>63</v>
      </c>
      <c r="M646">
        <v>26</v>
      </c>
      <c r="N646" t="s">
        <v>38</v>
      </c>
      <c r="O646" t="s">
        <v>41</v>
      </c>
      <c r="P646" s="2">
        <v>4675.08</v>
      </c>
      <c r="Q646" t="s">
        <v>40</v>
      </c>
      <c r="R646" s="1">
        <v>45070</v>
      </c>
      <c r="S646" s="1"/>
    </row>
    <row r="647" spans="1:19" x14ac:dyDescent="0.3">
      <c r="A647">
        <v>29132</v>
      </c>
      <c r="B647" t="s">
        <v>35</v>
      </c>
      <c r="C647" t="s">
        <v>18</v>
      </c>
      <c r="D647">
        <v>40000</v>
      </c>
      <c r="E647" t="str">
        <f>IF(Sales_Data[[#This Row],[Income]]&lt;=20000,"Low Income",IF(Sales_Data[[#This Row],[Income]]&lt;=40000,"Lower Middle",IF(Sales_Data[[#This Row],[Income]]&lt;=60000,"Middle Income",IF(Sales_Data[[#This Row],[Income]]&lt;=80000,"Upper Middle","High Income"))))</f>
        <v>Lower Middle</v>
      </c>
      <c r="F647">
        <v>0</v>
      </c>
      <c r="G647" t="s">
        <v>19</v>
      </c>
      <c r="H647" t="s">
        <v>31</v>
      </c>
      <c r="I647" t="s">
        <v>21</v>
      </c>
      <c r="J647">
        <v>1</v>
      </c>
      <c r="K647" t="s">
        <v>33</v>
      </c>
      <c r="L647" t="s">
        <v>63</v>
      </c>
      <c r="M647">
        <v>42</v>
      </c>
      <c r="N647" t="s">
        <v>38</v>
      </c>
      <c r="O647" t="s">
        <v>62</v>
      </c>
      <c r="P647" s="2">
        <v>4037.66</v>
      </c>
      <c r="Q647" t="s">
        <v>56</v>
      </c>
      <c r="R647" s="1">
        <v>45172</v>
      </c>
      <c r="S647" s="1"/>
    </row>
    <row r="648" spans="1:19" x14ac:dyDescent="0.3">
      <c r="A648">
        <v>28026</v>
      </c>
      <c r="B648" t="s">
        <v>17</v>
      </c>
      <c r="C648" t="s">
        <v>18</v>
      </c>
      <c r="D648">
        <v>40000</v>
      </c>
      <c r="E648" t="str">
        <f>IF(Sales_Data[[#This Row],[Income]]&lt;=20000,"Low Income",IF(Sales_Data[[#This Row],[Income]]&lt;=40000,"Lower Middle",IF(Sales_Data[[#This Row],[Income]]&lt;=60000,"Middle Income",IF(Sales_Data[[#This Row],[Income]]&lt;=80000,"Upper Middle","High Income"))))</f>
        <v>Lower Middle</v>
      </c>
      <c r="F648">
        <v>2</v>
      </c>
      <c r="G648" t="s">
        <v>45</v>
      </c>
      <c r="H648" t="s">
        <v>31</v>
      </c>
      <c r="I648" t="s">
        <v>32</v>
      </c>
      <c r="J648">
        <v>2</v>
      </c>
      <c r="K648" t="s">
        <v>33</v>
      </c>
      <c r="L648" t="s">
        <v>63</v>
      </c>
      <c r="M648">
        <v>59</v>
      </c>
      <c r="N648" t="s">
        <v>24</v>
      </c>
      <c r="O648" t="s">
        <v>55</v>
      </c>
      <c r="P648" s="2">
        <v>4665.8</v>
      </c>
      <c r="Q648" t="s">
        <v>30</v>
      </c>
      <c r="R648" s="1">
        <v>44990</v>
      </c>
      <c r="S648" s="1"/>
    </row>
    <row r="649" spans="1:19" x14ac:dyDescent="0.3">
      <c r="A649">
        <v>16020</v>
      </c>
      <c r="B649" t="s">
        <v>17</v>
      </c>
      <c r="C649" t="s">
        <v>17</v>
      </c>
      <c r="D649">
        <v>40000</v>
      </c>
      <c r="E649" t="str">
        <f>IF(Sales_Data[[#This Row],[Income]]&lt;=20000,"Low Income",IF(Sales_Data[[#This Row],[Income]]&lt;=40000,"Lower Middle",IF(Sales_Data[[#This Row],[Income]]&lt;=60000,"Middle Income",IF(Sales_Data[[#This Row],[Income]]&lt;=80000,"Upper Middle","High Income"))))</f>
        <v>Lower Middle</v>
      </c>
      <c r="F649">
        <v>0</v>
      </c>
      <c r="G649" t="s">
        <v>45</v>
      </c>
      <c r="H649" t="s">
        <v>20</v>
      </c>
      <c r="I649" t="s">
        <v>21</v>
      </c>
      <c r="J649">
        <v>2</v>
      </c>
      <c r="K649" t="s">
        <v>36</v>
      </c>
      <c r="L649" t="s">
        <v>63</v>
      </c>
      <c r="M649">
        <v>28</v>
      </c>
      <c r="N649" t="s">
        <v>24</v>
      </c>
      <c r="O649" t="s">
        <v>25</v>
      </c>
      <c r="P649" s="2">
        <v>8207.48</v>
      </c>
      <c r="Q649" t="s">
        <v>60</v>
      </c>
      <c r="R649" s="1">
        <v>45236</v>
      </c>
      <c r="S649" s="1"/>
    </row>
    <row r="650" spans="1:19" x14ac:dyDescent="0.3">
      <c r="A650">
        <v>24958</v>
      </c>
      <c r="B650" t="s">
        <v>35</v>
      </c>
      <c r="C650" t="s">
        <v>18</v>
      </c>
      <c r="D650">
        <v>40000</v>
      </c>
      <c r="E650" t="str">
        <f>IF(Sales_Data[[#This Row],[Income]]&lt;=20000,"Low Income",IF(Sales_Data[[#This Row],[Income]]&lt;=40000,"Lower Middle",IF(Sales_Data[[#This Row],[Income]]&lt;=60000,"Middle Income",IF(Sales_Data[[#This Row],[Income]]&lt;=80000,"Upper Middle","High Income"))))</f>
        <v>Lower Middle</v>
      </c>
      <c r="F650">
        <v>5</v>
      </c>
      <c r="G650" t="s">
        <v>45</v>
      </c>
      <c r="H650" t="s">
        <v>31</v>
      </c>
      <c r="I650" t="s">
        <v>32</v>
      </c>
      <c r="J650">
        <v>3</v>
      </c>
      <c r="K650" t="s">
        <v>33</v>
      </c>
      <c r="L650" t="s">
        <v>63</v>
      </c>
      <c r="M650">
        <v>60</v>
      </c>
      <c r="N650" t="s">
        <v>38</v>
      </c>
      <c r="O650" t="s">
        <v>39</v>
      </c>
      <c r="P650" s="2">
        <v>3969.67</v>
      </c>
      <c r="Q650" t="s">
        <v>51</v>
      </c>
      <c r="R650" s="1">
        <v>45086</v>
      </c>
      <c r="S650" s="1"/>
    </row>
    <row r="651" spans="1:19" x14ac:dyDescent="0.3">
      <c r="A651">
        <v>23275</v>
      </c>
      <c r="B651" t="s">
        <v>17</v>
      </c>
      <c r="C651" t="s">
        <v>17</v>
      </c>
      <c r="D651">
        <v>30000</v>
      </c>
      <c r="E651" t="str">
        <f>IF(Sales_Data[[#This Row],[Income]]&lt;=20000,"Low Income",IF(Sales_Data[[#This Row],[Income]]&lt;=40000,"Lower Middle",IF(Sales_Data[[#This Row],[Income]]&lt;=60000,"Middle Income",IF(Sales_Data[[#This Row],[Income]]&lt;=80000,"Upper Middle","High Income"))))</f>
        <v>Lower Middle</v>
      </c>
      <c r="F651">
        <v>2</v>
      </c>
      <c r="G651" t="s">
        <v>45</v>
      </c>
      <c r="H651" t="s">
        <v>20</v>
      </c>
      <c r="I651" t="s">
        <v>21</v>
      </c>
      <c r="J651">
        <v>2</v>
      </c>
      <c r="K651" t="s">
        <v>43</v>
      </c>
      <c r="L651" t="s">
        <v>63</v>
      </c>
      <c r="M651">
        <v>49</v>
      </c>
      <c r="N651" t="s">
        <v>24</v>
      </c>
      <c r="O651" t="s">
        <v>34</v>
      </c>
      <c r="P651" s="2">
        <v>2216.4</v>
      </c>
      <c r="Q651" t="s">
        <v>58</v>
      </c>
      <c r="R651" s="1">
        <v>45121</v>
      </c>
      <c r="S651" s="1"/>
    </row>
    <row r="652" spans="1:19" x14ac:dyDescent="0.3">
      <c r="A652">
        <v>27731</v>
      </c>
      <c r="B652" t="s">
        <v>17</v>
      </c>
      <c r="C652" t="s">
        <v>17</v>
      </c>
      <c r="D652">
        <v>40000</v>
      </c>
      <c r="E652" t="str">
        <f>IF(Sales_Data[[#This Row],[Income]]&lt;=20000,"Low Income",IF(Sales_Data[[#This Row],[Income]]&lt;=40000,"Lower Middle",IF(Sales_Data[[#This Row],[Income]]&lt;=60000,"Middle Income",IF(Sales_Data[[#This Row],[Income]]&lt;=80000,"Upper Middle","High Income"))))</f>
        <v>Lower Middle</v>
      </c>
      <c r="F652">
        <v>0</v>
      </c>
      <c r="G652" t="s">
        <v>45</v>
      </c>
      <c r="H652" t="s">
        <v>20</v>
      </c>
      <c r="I652" t="s">
        <v>21</v>
      </c>
      <c r="J652">
        <v>2</v>
      </c>
      <c r="K652" t="s">
        <v>36</v>
      </c>
      <c r="L652" t="s">
        <v>63</v>
      </c>
      <c r="M652">
        <v>27</v>
      </c>
      <c r="N652" t="s">
        <v>24</v>
      </c>
      <c r="O652" t="s">
        <v>29</v>
      </c>
      <c r="P652" s="2">
        <v>6179.99</v>
      </c>
      <c r="Q652" t="s">
        <v>48</v>
      </c>
      <c r="R652" s="1">
        <v>45162</v>
      </c>
      <c r="S652" s="1"/>
    </row>
    <row r="653" spans="1:19" x14ac:dyDescent="0.3">
      <c r="A653">
        <v>14514</v>
      </c>
      <c r="B653" t="s">
        <v>35</v>
      </c>
      <c r="C653" t="s">
        <v>18</v>
      </c>
      <c r="D653">
        <v>30000</v>
      </c>
      <c r="E653" t="str">
        <f>IF(Sales_Data[[#This Row],[Income]]&lt;=20000,"Low Income",IF(Sales_Data[[#This Row],[Income]]&lt;=40000,"Lower Middle",IF(Sales_Data[[#This Row],[Income]]&lt;=60000,"Middle Income",IF(Sales_Data[[#This Row],[Income]]&lt;=80000,"Upper Middle","High Income"))))</f>
        <v>Lower Middle</v>
      </c>
      <c r="F653">
        <v>0</v>
      </c>
      <c r="G653" t="s">
        <v>27</v>
      </c>
      <c r="H653" t="s">
        <v>20</v>
      </c>
      <c r="I653" t="s">
        <v>21</v>
      </c>
      <c r="J653">
        <v>1</v>
      </c>
      <c r="K653" t="s">
        <v>36</v>
      </c>
      <c r="L653" t="s">
        <v>63</v>
      </c>
      <c r="M653">
        <v>26</v>
      </c>
      <c r="N653" t="s">
        <v>24</v>
      </c>
      <c r="O653" t="s">
        <v>49</v>
      </c>
      <c r="P653" s="2">
        <v>5050.53</v>
      </c>
      <c r="Q653" t="s">
        <v>44</v>
      </c>
      <c r="R653" s="1">
        <v>44930</v>
      </c>
      <c r="S653" s="1"/>
    </row>
    <row r="654" spans="1:19" x14ac:dyDescent="0.3">
      <c r="A654">
        <v>19634</v>
      </c>
      <c r="B654" t="s">
        <v>17</v>
      </c>
      <c r="C654" t="s">
        <v>17</v>
      </c>
      <c r="D654">
        <v>40000</v>
      </c>
      <c r="E654" t="str">
        <f>IF(Sales_Data[[#This Row],[Income]]&lt;=20000,"Low Income",IF(Sales_Data[[#This Row],[Income]]&lt;=40000,"Lower Middle",IF(Sales_Data[[#This Row],[Income]]&lt;=60000,"Middle Income",IF(Sales_Data[[#This Row],[Income]]&lt;=80000,"Upper Middle","High Income"))))</f>
        <v>Lower Middle</v>
      </c>
      <c r="F654">
        <v>0</v>
      </c>
      <c r="G654" t="s">
        <v>45</v>
      </c>
      <c r="H654" t="s">
        <v>20</v>
      </c>
      <c r="I654" t="s">
        <v>21</v>
      </c>
      <c r="J654">
        <v>1</v>
      </c>
      <c r="K654" t="s">
        <v>36</v>
      </c>
      <c r="L654" t="s">
        <v>63</v>
      </c>
      <c r="M654">
        <v>31</v>
      </c>
      <c r="N654" t="s">
        <v>38</v>
      </c>
      <c r="O654" t="s">
        <v>41</v>
      </c>
      <c r="P654" s="2">
        <v>4686.5600000000004</v>
      </c>
      <c r="Q654" t="s">
        <v>52</v>
      </c>
      <c r="R654" s="1">
        <v>44967</v>
      </c>
      <c r="S654" s="1"/>
    </row>
    <row r="655" spans="1:19" x14ac:dyDescent="0.3">
      <c r="A655">
        <v>28799</v>
      </c>
      <c r="B655" t="s">
        <v>35</v>
      </c>
      <c r="C655" t="s">
        <v>18</v>
      </c>
      <c r="D655">
        <v>40000</v>
      </c>
      <c r="E655" t="str">
        <f>IF(Sales_Data[[#This Row],[Income]]&lt;=20000,"Low Income",IF(Sales_Data[[#This Row],[Income]]&lt;=40000,"Lower Middle",IF(Sales_Data[[#This Row],[Income]]&lt;=60000,"Middle Income",IF(Sales_Data[[#This Row],[Income]]&lt;=80000,"Upper Middle","High Income"))))</f>
        <v>Lower Middle</v>
      </c>
      <c r="F655">
        <v>2</v>
      </c>
      <c r="G655" t="s">
        <v>27</v>
      </c>
      <c r="H655" t="s">
        <v>28</v>
      </c>
      <c r="I655" t="s">
        <v>32</v>
      </c>
      <c r="J655">
        <v>1</v>
      </c>
      <c r="K655" t="s">
        <v>43</v>
      </c>
      <c r="L655" t="s">
        <v>63</v>
      </c>
      <c r="M655">
        <v>47</v>
      </c>
      <c r="N655" t="s">
        <v>24</v>
      </c>
      <c r="O655" t="s">
        <v>34</v>
      </c>
      <c r="P655" s="2">
        <v>2911.67</v>
      </c>
      <c r="Q655" t="s">
        <v>60</v>
      </c>
      <c r="R655" s="1">
        <v>45255</v>
      </c>
      <c r="S655" s="1"/>
    </row>
    <row r="656" spans="1:19" x14ac:dyDescent="0.3">
      <c r="A656">
        <v>17657</v>
      </c>
      <c r="B656" t="s">
        <v>17</v>
      </c>
      <c r="C656" t="s">
        <v>17</v>
      </c>
      <c r="D656">
        <v>40000</v>
      </c>
      <c r="E656" t="str">
        <f>IF(Sales_Data[[#This Row],[Income]]&lt;=20000,"Low Income",IF(Sales_Data[[#This Row],[Income]]&lt;=40000,"Lower Middle",IF(Sales_Data[[#This Row],[Income]]&lt;=60000,"Middle Income",IF(Sales_Data[[#This Row],[Income]]&lt;=80000,"Upper Middle","High Income"))))</f>
        <v>Lower Middle</v>
      </c>
      <c r="F656">
        <v>4</v>
      </c>
      <c r="G656" t="s">
        <v>27</v>
      </c>
      <c r="H656" t="s">
        <v>28</v>
      </c>
      <c r="I656" t="s">
        <v>32</v>
      </c>
      <c r="J656">
        <v>0</v>
      </c>
      <c r="K656" t="s">
        <v>22</v>
      </c>
      <c r="L656" t="s">
        <v>63</v>
      </c>
      <c r="M656">
        <v>30</v>
      </c>
      <c r="N656" t="s">
        <v>38</v>
      </c>
      <c r="O656" t="s">
        <v>41</v>
      </c>
      <c r="P656" s="2">
        <v>8165.36</v>
      </c>
      <c r="Q656" t="s">
        <v>60</v>
      </c>
      <c r="R656" s="1">
        <v>45248</v>
      </c>
      <c r="S656" s="1"/>
    </row>
    <row r="657" spans="1:19" x14ac:dyDescent="0.3">
      <c r="A657">
        <v>14913</v>
      </c>
      <c r="B657" t="s">
        <v>17</v>
      </c>
      <c r="C657" t="s">
        <v>18</v>
      </c>
      <c r="D657">
        <v>40000</v>
      </c>
      <c r="E657" t="str">
        <f>IF(Sales_Data[[#This Row],[Income]]&lt;=20000,"Low Income",IF(Sales_Data[[#This Row],[Income]]&lt;=40000,"Lower Middle",IF(Sales_Data[[#This Row],[Income]]&lt;=60000,"Middle Income",IF(Sales_Data[[#This Row],[Income]]&lt;=80000,"Upper Middle","High Income"))))</f>
        <v>Lower Middle</v>
      </c>
      <c r="F657">
        <v>1</v>
      </c>
      <c r="G657" t="s">
        <v>27</v>
      </c>
      <c r="H657" t="s">
        <v>28</v>
      </c>
      <c r="I657" t="s">
        <v>21</v>
      </c>
      <c r="J657">
        <v>1</v>
      </c>
      <c r="K657" t="s">
        <v>43</v>
      </c>
      <c r="L657" t="s">
        <v>63</v>
      </c>
      <c r="M657">
        <v>48</v>
      </c>
      <c r="N657" t="s">
        <v>38</v>
      </c>
      <c r="O657" t="s">
        <v>62</v>
      </c>
      <c r="P657" s="2">
        <v>6575.62</v>
      </c>
      <c r="Q657" t="s">
        <v>59</v>
      </c>
      <c r="R657" s="1">
        <v>45038</v>
      </c>
      <c r="S657" s="1"/>
    </row>
    <row r="658" spans="1:19" x14ac:dyDescent="0.3">
      <c r="A658">
        <v>14077</v>
      </c>
      <c r="B658" t="s">
        <v>35</v>
      </c>
      <c r="C658" t="s">
        <v>17</v>
      </c>
      <c r="D658">
        <v>30000</v>
      </c>
      <c r="E658" t="str">
        <f>IF(Sales_Data[[#This Row],[Income]]&lt;=20000,"Low Income",IF(Sales_Data[[#This Row],[Income]]&lt;=40000,"Lower Middle",IF(Sales_Data[[#This Row],[Income]]&lt;=60000,"Middle Income",IF(Sales_Data[[#This Row],[Income]]&lt;=80000,"Upper Middle","High Income"))))</f>
        <v>Lower Middle</v>
      </c>
      <c r="F658">
        <v>0</v>
      </c>
      <c r="G658" t="s">
        <v>45</v>
      </c>
      <c r="H658" t="s">
        <v>20</v>
      </c>
      <c r="I658" t="s">
        <v>21</v>
      </c>
      <c r="J658">
        <v>2</v>
      </c>
      <c r="K658" t="s">
        <v>36</v>
      </c>
      <c r="L658" t="s">
        <v>63</v>
      </c>
      <c r="M658">
        <v>30</v>
      </c>
      <c r="N658" t="s">
        <v>38</v>
      </c>
      <c r="O658" t="s">
        <v>47</v>
      </c>
      <c r="P658" s="2">
        <v>6764.35</v>
      </c>
      <c r="Q658" t="s">
        <v>40</v>
      </c>
      <c r="R658" s="1">
        <v>45072</v>
      </c>
      <c r="S658" s="1"/>
    </row>
    <row r="659" spans="1:19" x14ac:dyDescent="0.3">
      <c r="A659">
        <v>20758</v>
      </c>
      <c r="B659" t="s">
        <v>17</v>
      </c>
      <c r="C659" t="s">
        <v>17</v>
      </c>
      <c r="D659">
        <v>30000</v>
      </c>
      <c r="E659" t="str">
        <f>IF(Sales_Data[[#This Row],[Income]]&lt;=20000,"Low Income",IF(Sales_Data[[#This Row],[Income]]&lt;=40000,"Lower Middle",IF(Sales_Data[[#This Row],[Income]]&lt;=60000,"Middle Income",IF(Sales_Data[[#This Row],[Income]]&lt;=80000,"Upper Middle","High Income"))))</f>
        <v>Lower Middle</v>
      </c>
      <c r="F659">
        <v>2</v>
      </c>
      <c r="G659" t="s">
        <v>45</v>
      </c>
      <c r="H659" t="s">
        <v>20</v>
      </c>
      <c r="I659" t="s">
        <v>21</v>
      </c>
      <c r="J659">
        <v>2</v>
      </c>
      <c r="K659" t="s">
        <v>43</v>
      </c>
      <c r="L659" t="s">
        <v>63</v>
      </c>
      <c r="M659">
        <v>50</v>
      </c>
      <c r="N659" t="s">
        <v>24</v>
      </c>
      <c r="O659" t="s">
        <v>49</v>
      </c>
      <c r="P659" s="2">
        <v>9051.52</v>
      </c>
      <c r="Q659" t="s">
        <v>48</v>
      </c>
      <c r="R659" s="1">
        <v>45144</v>
      </c>
      <c r="S659" s="1"/>
    </row>
    <row r="660" spans="1:19" x14ac:dyDescent="0.3">
      <c r="A660">
        <v>28087</v>
      </c>
      <c r="B660" t="s">
        <v>35</v>
      </c>
      <c r="C660" t="s">
        <v>18</v>
      </c>
      <c r="D660">
        <v>40000</v>
      </c>
      <c r="E660" t="str">
        <f>IF(Sales_Data[[#This Row],[Income]]&lt;=20000,"Low Income",IF(Sales_Data[[#This Row],[Income]]&lt;=40000,"Lower Middle",IF(Sales_Data[[#This Row],[Income]]&lt;=60000,"Middle Income",IF(Sales_Data[[#This Row],[Income]]&lt;=80000,"Upper Middle","High Income"))))</f>
        <v>Lower Middle</v>
      </c>
      <c r="F660">
        <v>0</v>
      </c>
      <c r="G660" t="s">
        <v>27</v>
      </c>
      <c r="H660" t="s">
        <v>20</v>
      </c>
      <c r="I660" t="s">
        <v>32</v>
      </c>
      <c r="J660">
        <v>1</v>
      </c>
      <c r="K660" t="s">
        <v>43</v>
      </c>
      <c r="L660" t="s">
        <v>63</v>
      </c>
      <c r="M660">
        <v>27</v>
      </c>
      <c r="N660" t="s">
        <v>38</v>
      </c>
      <c r="O660" t="s">
        <v>41</v>
      </c>
      <c r="P660" s="2">
        <v>484.75</v>
      </c>
      <c r="Q660" t="s">
        <v>58</v>
      </c>
      <c r="R660" s="1">
        <v>45113</v>
      </c>
      <c r="S660" s="1"/>
    </row>
    <row r="661" spans="1:19" x14ac:dyDescent="0.3">
      <c r="A661">
        <v>23668</v>
      </c>
      <c r="B661" t="s">
        <v>17</v>
      </c>
      <c r="C661" t="s">
        <v>18</v>
      </c>
      <c r="D661">
        <v>40000</v>
      </c>
      <c r="E661" t="str">
        <f>IF(Sales_Data[[#This Row],[Income]]&lt;=20000,"Low Income",IF(Sales_Data[[#This Row],[Income]]&lt;=40000,"Lower Middle",IF(Sales_Data[[#This Row],[Income]]&lt;=60000,"Middle Income",IF(Sales_Data[[#This Row],[Income]]&lt;=80000,"Upper Middle","High Income"))))</f>
        <v>Lower Middle</v>
      </c>
      <c r="F661">
        <v>4</v>
      </c>
      <c r="G661" t="s">
        <v>45</v>
      </c>
      <c r="H661" t="s">
        <v>31</v>
      </c>
      <c r="I661" t="s">
        <v>21</v>
      </c>
      <c r="J661">
        <v>2</v>
      </c>
      <c r="K661" t="s">
        <v>36</v>
      </c>
      <c r="L661" t="s">
        <v>63</v>
      </c>
      <c r="M661">
        <v>59</v>
      </c>
      <c r="N661" t="s">
        <v>38</v>
      </c>
      <c r="O661" t="s">
        <v>62</v>
      </c>
      <c r="P661" s="2">
        <v>3771.03</v>
      </c>
      <c r="Q661" t="s">
        <v>30</v>
      </c>
      <c r="R661" s="1">
        <v>45014</v>
      </c>
      <c r="S661" s="1"/>
    </row>
    <row r="662" spans="1:19" x14ac:dyDescent="0.3">
      <c r="A662">
        <v>27261</v>
      </c>
      <c r="B662" t="s">
        <v>17</v>
      </c>
      <c r="C662" t="s">
        <v>17</v>
      </c>
      <c r="D662">
        <v>40000</v>
      </c>
      <c r="E662" t="str">
        <f>IF(Sales_Data[[#This Row],[Income]]&lt;=20000,"Low Income",IF(Sales_Data[[#This Row],[Income]]&lt;=40000,"Lower Middle",IF(Sales_Data[[#This Row],[Income]]&lt;=60000,"Middle Income",IF(Sales_Data[[#This Row],[Income]]&lt;=80000,"Upper Middle","High Income"))))</f>
        <v>Lower Middle</v>
      </c>
      <c r="F662">
        <v>1</v>
      </c>
      <c r="G662" t="s">
        <v>19</v>
      </c>
      <c r="H662" t="s">
        <v>20</v>
      </c>
      <c r="I662" t="s">
        <v>32</v>
      </c>
      <c r="J662">
        <v>1</v>
      </c>
      <c r="K662" t="s">
        <v>22</v>
      </c>
      <c r="L662" t="s">
        <v>63</v>
      </c>
      <c r="M662">
        <v>36</v>
      </c>
      <c r="N662" t="s">
        <v>24</v>
      </c>
      <c r="O662" t="s">
        <v>49</v>
      </c>
      <c r="P662" s="2">
        <v>4264.38</v>
      </c>
      <c r="Q662" t="s">
        <v>30</v>
      </c>
      <c r="R662" s="1">
        <v>45006</v>
      </c>
      <c r="S662" s="1"/>
    </row>
    <row r="663" spans="1:19" x14ac:dyDescent="0.3">
      <c r="A663">
        <v>18649</v>
      </c>
      <c r="B663" t="s">
        <v>35</v>
      </c>
      <c r="C663" t="s">
        <v>17</v>
      </c>
      <c r="D663">
        <v>30000</v>
      </c>
      <c r="E663" t="str">
        <f>IF(Sales_Data[[#This Row],[Income]]&lt;=20000,"Low Income",IF(Sales_Data[[#This Row],[Income]]&lt;=40000,"Lower Middle",IF(Sales_Data[[#This Row],[Income]]&lt;=60000,"Middle Income",IF(Sales_Data[[#This Row],[Income]]&lt;=80000,"Upper Middle","High Income"))))</f>
        <v>Lower Middle</v>
      </c>
      <c r="F663">
        <v>1</v>
      </c>
      <c r="G663" t="s">
        <v>45</v>
      </c>
      <c r="H663" t="s">
        <v>28</v>
      </c>
      <c r="I663" t="s">
        <v>21</v>
      </c>
      <c r="J663">
        <v>2</v>
      </c>
      <c r="K663" t="s">
        <v>43</v>
      </c>
      <c r="L663" t="s">
        <v>63</v>
      </c>
      <c r="M663">
        <v>51</v>
      </c>
      <c r="N663" t="s">
        <v>38</v>
      </c>
      <c r="O663" t="s">
        <v>39</v>
      </c>
      <c r="P663" s="2">
        <v>5208.55</v>
      </c>
      <c r="Q663" t="s">
        <v>56</v>
      </c>
      <c r="R663" s="1">
        <v>45182</v>
      </c>
      <c r="S663" s="1"/>
    </row>
    <row r="664" spans="1:19" x14ac:dyDescent="0.3">
      <c r="A664">
        <v>13151</v>
      </c>
      <c r="B664" t="s">
        <v>35</v>
      </c>
      <c r="C664" t="s">
        <v>17</v>
      </c>
      <c r="D664">
        <v>40000</v>
      </c>
      <c r="E664" t="str">
        <f>IF(Sales_Data[[#This Row],[Income]]&lt;=20000,"Low Income",IF(Sales_Data[[#This Row],[Income]]&lt;=40000,"Lower Middle",IF(Sales_Data[[#This Row],[Income]]&lt;=60000,"Middle Income",IF(Sales_Data[[#This Row],[Income]]&lt;=80000,"Upper Middle","High Income"))))</f>
        <v>Lower Middle</v>
      </c>
      <c r="F664">
        <v>0</v>
      </c>
      <c r="G664" t="s">
        <v>45</v>
      </c>
      <c r="H664" t="s">
        <v>20</v>
      </c>
      <c r="I664" t="s">
        <v>21</v>
      </c>
      <c r="J664">
        <v>2</v>
      </c>
      <c r="K664" t="s">
        <v>36</v>
      </c>
      <c r="L664" t="s">
        <v>63</v>
      </c>
      <c r="M664">
        <v>27</v>
      </c>
      <c r="N664" t="s">
        <v>38</v>
      </c>
      <c r="O664" t="s">
        <v>41</v>
      </c>
      <c r="P664" s="2">
        <v>2282.11</v>
      </c>
      <c r="Q664" t="s">
        <v>57</v>
      </c>
      <c r="R664" s="1">
        <v>45204</v>
      </c>
      <c r="S664" s="1"/>
    </row>
    <row r="665" spans="1:19" x14ac:dyDescent="0.3">
      <c r="A665">
        <v>24496</v>
      </c>
      <c r="B665" t="s">
        <v>35</v>
      </c>
      <c r="C665" t="s">
        <v>18</v>
      </c>
      <c r="D665">
        <v>40000</v>
      </c>
      <c r="E665" t="str">
        <f>IF(Sales_Data[[#This Row],[Income]]&lt;=20000,"Low Income",IF(Sales_Data[[#This Row],[Income]]&lt;=40000,"Lower Middle",IF(Sales_Data[[#This Row],[Income]]&lt;=60000,"Middle Income",IF(Sales_Data[[#This Row],[Income]]&lt;=80000,"Upper Middle","High Income"))))</f>
        <v>Lower Middle</v>
      </c>
      <c r="F665">
        <v>0</v>
      </c>
      <c r="G665" t="s">
        <v>45</v>
      </c>
      <c r="H665" t="s">
        <v>20</v>
      </c>
      <c r="I665" t="s">
        <v>32</v>
      </c>
      <c r="J665">
        <v>2</v>
      </c>
      <c r="K665" t="s">
        <v>22</v>
      </c>
      <c r="L665" t="s">
        <v>63</v>
      </c>
      <c r="M665">
        <v>28</v>
      </c>
      <c r="N665" t="s">
        <v>24</v>
      </c>
      <c r="O665" t="s">
        <v>49</v>
      </c>
      <c r="P665" s="2">
        <v>1035.8399999999999</v>
      </c>
      <c r="Q665" t="s">
        <v>59</v>
      </c>
      <c r="R665" s="1">
        <v>45038</v>
      </c>
      <c r="S665" s="1"/>
    </row>
    <row r="666" spans="1:19" x14ac:dyDescent="0.3">
      <c r="A666">
        <v>18363</v>
      </c>
      <c r="B666" t="s">
        <v>17</v>
      </c>
      <c r="C666" t="s">
        <v>17</v>
      </c>
      <c r="D666">
        <v>40000</v>
      </c>
      <c r="E666" t="str">
        <f>IF(Sales_Data[[#This Row],[Income]]&lt;=20000,"Low Income",IF(Sales_Data[[#This Row],[Income]]&lt;=40000,"Lower Middle",IF(Sales_Data[[#This Row],[Income]]&lt;=60000,"Middle Income",IF(Sales_Data[[#This Row],[Income]]&lt;=80000,"Upper Middle","High Income"))))</f>
        <v>Lower Middle</v>
      </c>
      <c r="F666">
        <v>0</v>
      </c>
      <c r="G666" t="s">
        <v>45</v>
      </c>
      <c r="H666" t="s">
        <v>20</v>
      </c>
      <c r="I666" t="s">
        <v>21</v>
      </c>
      <c r="J666">
        <v>2</v>
      </c>
      <c r="K666" t="s">
        <v>36</v>
      </c>
      <c r="L666" t="s">
        <v>63</v>
      </c>
      <c r="M666">
        <v>28</v>
      </c>
      <c r="N666" t="s">
        <v>24</v>
      </c>
      <c r="O666" t="s">
        <v>55</v>
      </c>
      <c r="P666" s="2">
        <v>5613.66</v>
      </c>
      <c r="Q666" t="s">
        <v>40</v>
      </c>
      <c r="R666" s="1">
        <v>45073</v>
      </c>
      <c r="S666" s="1"/>
    </row>
    <row r="667" spans="1:19" x14ac:dyDescent="0.3">
      <c r="A667">
        <v>23256</v>
      </c>
      <c r="B667" t="s">
        <v>35</v>
      </c>
      <c r="C667" t="s">
        <v>17</v>
      </c>
      <c r="D667">
        <v>30000</v>
      </c>
      <c r="E667" t="str">
        <f>IF(Sales_Data[[#This Row],[Income]]&lt;=20000,"Low Income",IF(Sales_Data[[#This Row],[Income]]&lt;=40000,"Lower Middle",IF(Sales_Data[[#This Row],[Income]]&lt;=60000,"Middle Income",IF(Sales_Data[[#This Row],[Income]]&lt;=80000,"Upper Middle","High Income"))))</f>
        <v>Lower Middle</v>
      </c>
      <c r="F667">
        <v>1</v>
      </c>
      <c r="G667" t="s">
        <v>45</v>
      </c>
      <c r="H667" t="s">
        <v>28</v>
      </c>
      <c r="I667" t="s">
        <v>32</v>
      </c>
      <c r="J667">
        <v>1</v>
      </c>
      <c r="K667" t="s">
        <v>36</v>
      </c>
      <c r="L667" t="s">
        <v>63</v>
      </c>
      <c r="M667">
        <v>52</v>
      </c>
      <c r="N667" t="s">
        <v>38</v>
      </c>
      <c r="O667" t="s">
        <v>47</v>
      </c>
      <c r="P667" s="2">
        <v>8227.49</v>
      </c>
      <c r="Q667" t="s">
        <v>30</v>
      </c>
      <c r="R667" s="1">
        <v>44986</v>
      </c>
      <c r="S667" s="1"/>
    </row>
    <row r="668" spans="1:19" x14ac:dyDescent="0.3">
      <c r="A668">
        <v>12768</v>
      </c>
      <c r="B668" t="s">
        <v>17</v>
      </c>
      <c r="C668" t="s">
        <v>17</v>
      </c>
      <c r="D668">
        <v>30000</v>
      </c>
      <c r="E668" t="str">
        <f>IF(Sales_Data[[#This Row],[Income]]&lt;=20000,"Low Income",IF(Sales_Data[[#This Row],[Income]]&lt;=40000,"Lower Middle",IF(Sales_Data[[#This Row],[Income]]&lt;=60000,"Middle Income",IF(Sales_Data[[#This Row],[Income]]&lt;=80000,"Upper Middle","High Income"))))</f>
        <v>Lower Middle</v>
      </c>
      <c r="F668">
        <v>1</v>
      </c>
      <c r="G668" t="s">
        <v>45</v>
      </c>
      <c r="H668" t="s">
        <v>28</v>
      </c>
      <c r="I668" t="s">
        <v>21</v>
      </c>
      <c r="J668">
        <v>1</v>
      </c>
      <c r="K668" t="s">
        <v>33</v>
      </c>
      <c r="L668" t="s">
        <v>63</v>
      </c>
      <c r="M668">
        <v>52</v>
      </c>
      <c r="N668" t="s">
        <v>38</v>
      </c>
      <c r="O668" t="s">
        <v>41</v>
      </c>
      <c r="P668" s="2">
        <v>9743.73</v>
      </c>
      <c r="Q668" t="s">
        <v>57</v>
      </c>
      <c r="R668" s="1">
        <v>45229</v>
      </c>
      <c r="S668" s="1"/>
    </row>
    <row r="669" spans="1:19" x14ac:dyDescent="0.3">
      <c r="A669">
        <v>22971</v>
      </c>
      <c r="B669" t="s">
        <v>35</v>
      </c>
      <c r="C669" t="s">
        <v>18</v>
      </c>
      <c r="D669">
        <v>30000</v>
      </c>
      <c r="E669" t="str">
        <f>IF(Sales_Data[[#This Row],[Income]]&lt;=20000,"Low Income",IF(Sales_Data[[#This Row],[Income]]&lt;=40000,"Lower Middle",IF(Sales_Data[[#This Row],[Income]]&lt;=60000,"Middle Income",IF(Sales_Data[[#This Row],[Income]]&lt;=80000,"Upper Middle","High Income"))))</f>
        <v>Lower Middle</v>
      </c>
      <c r="F669">
        <v>0</v>
      </c>
      <c r="G669" t="s">
        <v>45</v>
      </c>
      <c r="H669" t="s">
        <v>20</v>
      </c>
      <c r="I669" t="s">
        <v>32</v>
      </c>
      <c r="J669">
        <v>2</v>
      </c>
      <c r="K669" t="s">
        <v>22</v>
      </c>
      <c r="L669" t="s">
        <v>63</v>
      </c>
      <c r="M669">
        <v>25</v>
      </c>
      <c r="N669" t="s">
        <v>24</v>
      </c>
      <c r="O669" t="s">
        <v>25</v>
      </c>
      <c r="P669" s="2">
        <v>2312.27</v>
      </c>
      <c r="Q669" t="s">
        <v>52</v>
      </c>
      <c r="R669" s="1">
        <v>44978</v>
      </c>
      <c r="S669" s="1"/>
    </row>
    <row r="670" spans="1:19" x14ac:dyDescent="0.3">
      <c r="A670">
        <v>28090</v>
      </c>
      <c r="B670" t="s">
        <v>17</v>
      </c>
      <c r="C670" t="s">
        <v>17</v>
      </c>
      <c r="D670">
        <v>40000</v>
      </c>
      <c r="E670" t="str">
        <f>IF(Sales_Data[[#This Row],[Income]]&lt;=20000,"Low Income",IF(Sales_Data[[#This Row],[Income]]&lt;=40000,"Lower Middle",IF(Sales_Data[[#This Row],[Income]]&lt;=60000,"Middle Income",IF(Sales_Data[[#This Row],[Income]]&lt;=80000,"Upper Middle","High Income"))))</f>
        <v>Lower Middle</v>
      </c>
      <c r="F670">
        <v>0</v>
      </c>
      <c r="G670" t="s">
        <v>27</v>
      </c>
      <c r="H670" t="s">
        <v>20</v>
      </c>
      <c r="I670" t="s">
        <v>21</v>
      </c>
      <c r="J670">
        <v>1</v>
      </c>
      <c r="K670" t="s">
        <v>36</v>
      </c>
      <c r="L670" t="s">
        <v>63</v>
      </c>
      <c r="M670">
        <v>27</v>
      </c>
      <c r="N670" t="s">
        <v>24</v>
      </c>
      <c r="O670" t="s">
        <v>29</v>
      </c>
      <c r="P670" s="2">
        <v>7879.03</v>
      </c>
      <c r="Q670" t="s">
        <v>51</v>
      </c>
      <c r="R670" s="1">
        <v>45088</v>
      </c>
      <c r="S670" s="1"/>
    </row>
    <row r="671" spans="1:19" x14ac:dyDescent="0.3">
      <c r="A671">
        <v>15255</v>
      </c>
      <c r="B671" t="s">
        <v>17</v>
      </c>
      <c r="C671" t="s">
        <v>17</v>
      </c>
      <c r="D671">
        <v>40000</v>
      </c>
      <c r="E671" t="str">
        <f>IF(Sales_Data[[#This Row],[Income]]&lt;=20000,"Low Income",IF(Sales_Data[[#This Row],[Income]]&lt;=40000,"Lower Middle",IF(Sales_Data[[#This Row],[Income]]&lt;=60000,"Middle Income",IF(Sales_Data[[#This Row],[Income]]&lt;=80000,"Upper Middle","High Income"))))</f>
        <v>Lower Middle</v>
      </c>
      <c r="F671">
        <v>0</v>
      </c>
      <c r="G671" t="s">
        <v>45</v>
      </c>
      <c r="H671" t="s">
        <v>20</v>
      </c>
      <c r="I671" t="s">
        <v>21</v>
      </c>
      <c r="J671">
        <v>2</v>
      </c>
      <c r="K671" t="s">
        <v>36</v>
      </c>
      <c r="L671" t="s">
        <v>63</v>
      </c>
      <c r="M671">
        <v>28</v>
      </c>
      <c r="N671" t="s">
        <v>38</v>
      </c>
      <c r="O671" t="s">
        <v>41</v>
      </c>
      <c r="P671" s="2">
        <v>4930.8999999999996</v>
      </c>
      <c r="Q671" t="s">
        <v>48</v>
      </c>
      <c r="R671" s="1">
        <v>45140</v>
      </c>
      <c r="S671" s="1"/>
    </row>
    <row r="672" spans="1:19" x14ac:dyDescent="0.3">
      <c r="A672">
        <v>13154</v>
      </c>
      <c r="B672" t="s">
        <v>17</v>
      </c>
      <c r="C672" t="s">
        <v>17</v>
      </c>
      <c r="D672">
        <v>40000</v>
      </c>
      <c r="E672" t="str">
        <f>IF(Sales_Data[[#This Row],[Income]]&lt;=20000,"Low Income",IF(Sales_Data[[#This Row],[Income]]&lt;=40000,"Lower Middle",IF(Sales_Data[[#This Row],[Income]]&lt;=60000,"Middle Income",IF(Sales_Data[[#This Row],[Income]]&lt;=80000,"Upper Middle","High Income"))))</f>
        <v>Lower Middle</v>
      </c>
      <c r="F672">
        <v>0</v>
      </c>
      <c r="G672" t="s">
        <v>45</v>
      </c>
      <c r="H672" t="s">
        <v>20</v>
      </c>
      <c r="I672" t="s">
        <v>32</v>
      </c>
      <c r="J672">
        <v>2</v>
      </c>
      <c r="K672" t="s">
        <v>22</v>
      </c>
      <c r="L672" t="s">
        <v>63</v>
      </c>
      <c r="M672">
        <v>27</v>
      </c>
      <c r="N672" t="s">
        <v>24</v>
      </c>
      <c r="O672" t="s">
        <v>49</v>
      </c>
      <c r="P672" s="2">
        <v>6608.48</v>
      </c>
      <c r="Q672" t="s">
        <v>52</v>
      </c>
      <c r="R672" s="1">
        <v>44982</v>
      </c>
      <c r="S672" s="1"/>
    </row>
    <row r="673" spans="1:19" x14ac:dyDescent="0.3">
      <c r="A673">
        <v>26778</v>
      </c>
      <c r="B673" t="s">
        <v>35</v>
      </c>
      <c r="C673" t="s">
        <v>18</v>
      </c>
      <c r="D673">
        <v>40000</v>
      </c>
      <c r="E673" t="str">
        <f>IF(Sales_Data[[#This Row],[Income]]&lt;=20000,"Low Income",IF(Sales_Data[[#This Row],[Income]]&lt;=40000,"Lower Middle",IF(Sales_Data[[#This Row],[Income]]&lt;=60000,"Middle Income",IF(Sales_Data[[#This Row],[Income]]&lt;=80000,"Upper Middle","High Income"))))</f>
        <v>Lower Middle</v>
      </c>
      <c r="F673">
        <v>0</v>
      </c>
      <c r="G673" t="s">
        <v>45</v>
      </c>
      <c r="H673" t="s">
        <v>20</v>
      </c>
      <c r="I673" t="s">
        <v>21</v>
      </c>
      <c r="J673">
        <v>2</v>
      </c>
      <c r="K673" t="s">
        <v>36</v>
      </c>
      <c r="L673" t="s">
        <v>63</v>
      </c>
      <c r="M673">
        <v>31</v>
      </c>
      <c r="N673" t="s">
        <v>24</v>
      </c>
      <c r="O673" t="s">
        <v>25</v>
      </c>
      <c r="P673" s="2">
        <v>8861.74</v>
      </c>
      <c r="Q673" t="s">
        <v>59</v>
      </c>
      <c r="R673" s="1">
        <v>45021</v>
      </c>
      <c r="S673" s="1"/>
    </row>
    <row r="674" spans="1:19" x14ac:dyDescent="0.3">
      <c r="A674">
        <v>17668</v>
      </c>
      <c r="B674" t="s">
        <v>35</v>
      </c>
      <c r="C674" t="s">
        <v>17</v>
      </c>
      <c r="D674">
        <v>30000</v>
      </c>
      <c r="E674" t="str">
        <f>IF(Sales_Data[[#This Row],[Income]]&lt;=20000,"Low Income",IF(Sales_Data[[#This Row],[Income]]&lt;=40000,"Lower Middle",IF(Sales_Data[[#This Row],[Income]]&lt;=60000,"Middle Income",IF(Sales_Data[[#This Row],[Income]]&lt;=80000,"Upper Middle","High Income"))))</f>
        <v>Lower Middle</v>
      </c>
      <c r="F674">
        <v>2</v>
      </c>
      <c r="G674" t="s">
        <v>45</v>
      </c>
      <c r="H674" t="s">
        <v>20</v>
      </c>
      <c r="I674" t="s">
        <v>21</v>
      </c>
      <c r="J674">
        <v>2</v>
      </c>
      <c r="K674" t="s">
        <v>43</v>
      </c>
      <c r="L674" t="s">
        <v>63</v>
      </c>
      <c r="M674">
        <v>50</v>
      </c>
      <c r="N674" t="s">
        <v>24</v>
      </c>
      <c r="O674" t="s">
        <v>49</v>
      </c>
      <c r="P674" s="2">
        <v>3793.63</v>
      </c>
      <c r="Q674" t="s">
        <v>51</v>
      </c>
      <c r="R674" s="1">
        <v>45092</v>
      </c>
      <c r="S674" s="1"/>
    </row>
    <row r="675" spans="1:19" x14ac:dyDescent="0.3">
      <c r="A675">
        <v>27994</v>
      </c>
      <c r="B675" t="s">
        <v>17</v>
      </c>
      <c r="C675" t="s">
        <v>18</v>
      </c>
      <c r="D675">
        <v>40000</v>
      </c>
      <c r="E675" t="str">
        <f>IF(Sales_Data[[#This Row],[Income]]&lt;=20000,"Low Income",IF(Sales_Data[[#This Row],[Income]]&lt;=40000,"Lower Middle",IF(Sales_Data[[#This Row],[Income]]&lt;=60000,"Middle Income",IF(Sales_Data[[#This Row],[Income]]&lt;=80000,"Upper Middle","High Income"))))</f>
        <v>Lower Middle</v>
      </c>
      <c r="F675">
        <v>4</v>
      </c>
      <c r="G675" t="s">
        <v>45</v>
      </c>
      <c r="H675" t="s">
        <v>31</v>
      </c>
      <c r="I675" t="s">
        <v>21</v>
      </c>
      <c r="J675">
        <v>2</v>
      </c>
      <c r="K675" t="s">
        <v>36</v>
      </c>
      <c r="L675" t="s">
        <v>63</v>
      </c>
      <c r="M675">
        <v>69</v>
      </c>
      <c r="N675" t="s">
        <v>24</v>
      </c>
      <c r="O675" t="s">
        <v>25</v>
      </c>
      <c r="P675" s="2">
        <v>3963.05</v>
      </c>
      <c r="Q675" t="s">
        <v>56</v>
      </c>
      <c r="R675" s="1">
        <v>45186</v>
      </c>
      <c r="S675" s="1"/>
    </row>
    <row r="676" spans="1:19" x14ac:dyDescent="0.3">
      <c r="A676">
        <v>23333</v>
      </c>
      <c r="B676" t="s">
        <v>17</v>
      </c>
      <c r="C676" t="s">
        <v>17</v>
      </c>
      <c r="D676">
        <v>40000</v>
      </c>
      <c r="E676" t="str">
        <f>IF(Sales_Data[[#This Row],[Income]]&lt;=20000,"Low Income",IF(Sales_Data[[#This Row],[Income]]&lt;=40000,"Lower Middle",IF(Sales_Data[[#This Row],[Income]]&lt;=60000,"Middle Income",IF(Sales_Data[[#This Row],[Income]]&lt;=80000,"Upper Middle","High Income"))))</f>
        <v>Lower Middle</v>
      </c>
      <c r="F676">
        <v>0</v>
      </c>
      <c r="G676" t="s">
        <v>27</v>
      </c>
      <c r="H676" t="s">
        <v>20</v>
      </c>
      <c r="I676" t="s">
        <v>32</v>
      </c>
      <c r="J676">
        <v>2</v>
      </c>
      <c r="K676" t="s">
        <v>43</v>
      </c>
      <c r="L676" t="s">
        <v>63</v>
      </c>
      <c r="M676">
        <v>30</v>
      </c>
      <c r="N676" t="s">
        <v>38</v>
      </c>
      <c r="O676" t="s">
        <v>39</v>
      </c>
      <c r="P676" s="2">
        <v>1555.39</v>
      </c>
      <c r="Q676" t="s">
        <v>52</v>
      </c>
      <c r="R676" s="1">
        <v>44959</v>
      </c>
      <c r="S676" s="1"/>
    </row>
    <row r="677" spans="1:19" x14ac:dyDescent="0.3">
      <c r="A677">
        <v>24514</v>
      </c>
      <c r="B677" t="s">
        <v>17</v>
      </c>
      <c r="C677" t="s">
        <v>17</v>
      </c>
      <c r="D677">
        <v>40000</v>
      </c>
      <c r="E677" t="str">
        <f>IF(Sales_Data[[#This Row],[Income]]&lt;=20000,"Low Income",IF(Sales_Data[[#This Row],[Income]]&lt;=40000,"Lower Middle",IF(Sales_Data[[#This Row],[Income]]&lt;=60000,"Middle Income",IF(Sales_Data[[#This Row],[Income]]&lt;=80000,"Upper Middle","High Income"))))</f>
        <v>Lower Middle</v>
      </c>
      <c r="F677">
        <v>0</v>
      </c>
      <c r="G677" t="s">
        <v>27</v>
      </c>
      <c r="H677" t="s">
        <v>20</v>
      </c>
      <c r="I677" t="s">
        <v>21</v>
      </c>
      <c r="J677">
        <v>1</v>
      </c>
      <c r="K677" t="s">
        <v>36</v>
      </c>
      <c r="L677" t="s">
        <v>63</v>
      </c>
      <c r="M677">
        <v>30</v>
      </c>
      <c r="N677" t="s">
        <v>24</v>
      </c>
      <c r="O677" t="s">
        <v>25</v>
      </c>
      <c r="P677" s="2">
        <v>1758.57</v>
      </c>
      <c r="Q677" t="s">
        <v>57</v>
      </c>
      <c r="R677" s="1">
        <v>45214</v>
      </c>
      <c r="S677" s="1"/>
    </row>
    <row r="678" spans="1:19" x14ac:dyDescent="0.3">
      <c r="A678">
        <v>27505</v>
      </c>
      <c r="B678" t="s">
        <v>35</v>
      </c>
      <c r="C678" t="s">
        <v>18</v>
      </c>
      <c r="D678">
        <v>40000</v>
      </c>
      <c r="E678" t="str">
        <f>IF(Sales_Data[[#This Row],[Income]]&lt;=20000,"Low Income",IF(Sales_Data[[#This Row],[Income]]&lt;=40000,"Lower Middle",IF(Sales_Data[[#This Row],[Income]]&lt;=60000,"Middle Income",IF(Sales_Data[[#This Row],[Income]]&lt;=80000,"Upper Middle","High Income"))))</f>
        <v>Lower Middle</v>
      </c>
      <c r="F678">
        <v>0</v>
      </c>
      <c r="G678" t="s">
        <v>45</v>
      </c>
      <c r="H678" t="s">
        <v>20</v>
      </c>
      <c r="I678" t="s">
        <v>21</v>
      </c>
      <c r="J678">
        <v>2</v>
      </c>
      <c r="K678" t="s">
        <v>36</v>
      </c>
      <c r="L678" t="s">
        <v>63</v>
      </c>
      <c r="M678">
        <v>30</v>
      </c>
      <c r="N678" t="s">
        <v>38</v>
      </c>
      <c r="O678" t="s">
        <v>41</v>
      </c>
      <c r="P678" s="2">
        <v>5503.34</v>
      </c>
      <c r="Q678" t="s">
        <v>57</v>
      </c>
      <c r="R678" s="1">
        <v>45221</v>
      </c>
      <c r="S678" s="1"/>
    </row>
    <row r="679" spans="1:19" x14ac:dyDescent="0.3">
      <c r="A679">
        <v>14271</v>
      </c>
      <c r="B679" t="s">
        <v>17</v>
      </c>
      <c r="C679" t="s">
        <v>17</v>
      </c>
      <c r="D679">
        <v>30000</v>
      </c>
      <c r="E679" t="str">
        <f>IF(Sales_Data[[#This Row],[Income]]&lt;=20000,"Low Income",IF(Sales_Data[[#This Row],[Income]]&lt;=40000,"Lower Middle",IF(Sales_Data[[#This Row],[Income]]&lt;=60000,"Middle Income",IF(Sales_Data[[#This Row],[Income]]&lt;=80000,"Upper Middle","High Income"))))</f>
        <v>Lower Middle</v>
      </c>
      <c r="F679">
        <v>0</v>
      </c>
      <c r="G679" t="s">
        <v>45</v>
      </c>
      <c r="H679" t="s">
        <v>20</v>
      </c>
      <c r="I679" t="s">
        <v>21</v>
      </c>
      <c r="J679">
        <v>2</v>
      </c>
      <c r="K679" t="s">
        <v>36</v>
      </c>
      <c r="L679" t="s">
        <v>63</v>
      </c>
      <c r="M679">
        <v>32</v>
      </c>
      <c r="N679" t="s">
        <v>38</v>
      </c>
      <c r="O679" t="s">
        <v>39</v>
      </c>
      <c r="P679" s="2">
        <v>4412.63</v>
      </c>
      <c r="Q679" t="s">
        <v>57</v>
      </c>
      <c r="R679" s="1">
        <v>45214</v>
      </c>
      <c r="S679" s="1"/>
    </row>
    <row r="680" spans="1:19" x14ac:dyDescent="0.3">
      <c r="A680">
        <v>20421</v>
      </c>
      <c r="B680" t="s">
        <v>35</v>
      </c>
      <c r="C680" t="s">
        <v>18</v>
      </c>
      <c r="D680">
        <v>40000</v>
      </c>
      <c r="E680" t="str">
        <f>IF(Sales_Data[[#This Row],[Income]]&lt;=20000,"Low Income",IF(Sales_Data[[#This Row],[Income]]&lt;=40000,"Lower Middle",IF(Sales_Data[[#This Row],[Income]]&lt;=60000,"Middle Income",IF(Sales_Data[[#This Row],[Income]]&lt;=80000,"Upper Middle","High Income"))))</f>
        <v>Lower Middle</v>
      </c>
      <c r="F680">
        <v>0</v>
      </c>
      <c r="G680" t="s">
        <v>50</v>
      </c>
      <c r="H680" t="s">
        <v>28</v>
      </c>
      <c r="I680" t="s">
        <v>21</v>
      </c>
      <c r="J680">
        <v>2</v>
      </c>
      <c r="K680" t="s">
        <v>36</v>
      </c>
      <c r="L680" t="s">
        <v>63</v>
      </c>
      <c r="M680">
        <v>26</v>
      </c>
      <c r="N680" t="s">
        <v>24</v>
      </c>
      <c r="O680" t="s">
        <v>55</v>
      </c>
      <c r="P680" s="2">
        <v>452.35</v>
      </c>
      <c r="Q680" t="s">
        <v>30</v>
      </c>
      <c r="R680" s="1">
        <v>44996</v>
      </c>
      <c r="S680" s="1"/>
    </row>
    <row r="681" spans="1:19" x14ac:dyDescent="0.3">
      <c r="A681">
        <v>18891</v>
      </c>
      <c r="B681" t="s">
        <v>17</v>
      </c>
      <c r="C681" t="s">
        <v>18</v>
      </c>
      <c r="D681">
        <v>40000</v>
      </c>
      <c r="E681" t="str">
        <f>IF(Sales_Data[[#This Row],[Income]]&lt;=20000,"Low Income",IF(Sales_Data[[#This Row],[Income]]&lt;=40000,"Lower Middle",IF(Sales_Data[[#This Row],[Income]]&lt;=60000,"Middle Income",IF(Sales_Data[[#This Row],[Income]]&lt;=80000,"Upper Middle","High Income"))))</f>
        <v>Lower Middle</v>
      </c>
      <c r="F681">
        <v>0</v>
      </c>
      <c r="G681" t="s">
        <v>27</v>
      </c>
      <c r="H681" t="s">
        <v>20</v>
      </c>
      <c r="I681" t="s">
        <v>21</v>
      </c>
      <c r="J681">
        <v>2</v>
      </c>
      <c r="K681" t="s">
        <v>36</v>
      </c>
      <c r="L681" t="s">
        <v>63</v>
      </c>
      <c r="M681">
        <v>28</v>
      </c>
      <c r="N681" t="s">
        <v>38</v>
      </c>
      <c r="O681" t="s">
        <v>62</v>
      </c>
      <c r="P681" s="2">
        <v>8480.27</v>
      </c>
      <c r="Q681" t="s">
        <v>51</v>
      </c>
      <c r="R681" s="1">
        <v>45083</v>
      </c>
      <c r="S681" s="1"/>
    </row>
    <row r="682" spans="1:19" x14ac:dyDescent="0.3">
      <c r="A682">
        <v>22743</v>
      </c>
      <c r="B682" t="s">
        <v>17</v>
      </c>
      <c r="C682" t="s">
        <v>18</v>
      </c>
      <c r="D682">
        <v>40000</v>
      </c>
      <c r="E682" t="str">
        <f>IF(Sales_Data[[#This Row],[Income]]&lt;=20000,"Low Income",IF(Sales_Data[[#This Row],[Income]]&lt;=40000,"Lower Middle",IF(Sales_Data[[#This Row],[Income]]&lt;=60000,"Middle Income",IF(Sales_Data[[#This Row],[Income]]&lt;=80000,"Upper Middle","High Income"))))</f>
        <v>Lower Middle</v>
      </c>
      <c r="F682">
        <v>5</v>
      </c>
      <c r="G682" t="s">
        <v>45</v>
      </c>
      <c r="H682" t="s">
        <v>31</v>
      </c>
      <c r="I682" t="s">
        <v>21</v>
      </c>
      <c r="J682">
        <v>2</v>
      </c>
      <c r="K682" t="s">
        <v>53</v>
      </c>
      <c r="L682" t="s">
        <v>63</v>
      </c>
      <c r="M682">
        <v>60</v>
      </c>
      <c r="N682" t="s">
        <v>24</v>
      </c>
      <c r="O682" t="s">
        <v>55</v>
      </c>
      <c r="P682" s="2">
        <v>1692.61</v>
      </c>
      <c r="Q682" t="s">
        <v>44</v>
      </c>
      <c r="R682" s="1">
        <v>44952</v>
      </c>
      <c r="S682" s="1"/>
    </row>
    <row r="683" spans="1:19" x14ac:dyDescent="0.3">
      <c r="A683">
        <v>17482</v>
      </c>
      <c r="B683" t="s">
        <v>35</v>
      </c>
      <c r="C683" t="s">
        <v>18</v>
      </c>
      <c r="D683">
        <v>40000</v>
      </c>
      <c r="E683" t="str">
        <f>IF(Sales_Data[[#This Row],[Income]]&lt;=20000,"Low Income",IF(Sales_Data[[#This Row],[Income]]&lt;=40000,"Lower Middle",IF(Sales_Data[[#This Row],[Income]]&lt;=60000,"Middle Income",IF(Sales_Data[[#This Row],[Income]]&lt;=80000,"Upper Middle","High Income"))))</f>
        <v>Lower Middle</v>
      </c>
      <c r="F683">
        <v>0</v>
      </c>
      <c r="G683" t="s">
        <v>50</v>
      </c>
      <c r="H683" t="s">
        <v>28</v>
      </c>
      <c r="I683" t="s">
        <v>21</v>
      </c>
      <c r="J683">
        <v>2</v>
      </c>
      <c r="K683" t="s">
        <v>36</v>
      </c>
      <c r="L683" t="s">
        <v>63</v>
      </c>
      <c r="M683">
        <v>29</v>
      </c>
      <c r="N683" t="s">
        <v>38</v>
      </c>
      <c r="O683" t="s">
        <v>62</v>
      </c>
      <c r="P683" s="2">
        <v>1030.06</v>
      </c>
      <c r="Q683" t="s">
        <v>57</v>
      </c>
      <c r="R683" s="1">
        <v>45229</v>
      </c>
      <c r="S683" s="1"/>
    </row>
    <row r="684" spans="1:19" x14ac:dyDescent="0.3">
      <c r="A684">
        <v>20504</v>
      </c>
      <c r="B684" t="s">
        <v>17</v>
      </c>
      <c r="C684" t="s">
        <v>18</v>
      </c>
      <c r="D684">
        <v>40000</v>
      </c>
      <c r="E684" t="str">
        <f>IF(Sales_Data[[#This Row],[Income]]&lt;=20000,"Low Income",IF(Sales_Data[[#This Row],[Income]]&lt;=40000,"Lower Middle",IF(Sales_Data[[#This Row],[Income]]&lt;=60000,"Middle Income",IF(Sales_Data[[#This Row],[Income]]&lt;=80000,"Upper Middle","High Income"))))</f>
        <v>Lower Middle</v>
      </c>
      <c r="F684">
        <v>5</v>
      </c>
      <c r="G684" t="s">
        <v>45</v>
      </c>
      <c r="H684" t="s">
        <v>31</v>
      </c>
      <c r="I684" t="s">
        <v>32</v>
      </c>
      <c r="J684">
        <v>2</v>
      </c>
      <c r="K684" t="s">
        <v>33</v>
      </c>
      <c r="L684" t="s">
        <v>63</v>
      </c>
      <c r="M684">
        <v>60</v>
      </c>
      <c r="N684" t="s">
        <v>24</v>
      </c>
      <c r="O684" t="s">
        <v>34</v>
      </c>
      <c r="P684" s="2">
        <v>5041.04</v>
      </c>
      <c r="Q684" t="s">
        <v>30</v>
      </c>
      <c r="R684" s="1">
        <v>45000</v>
      </c>
      <c r="S684" s="1"/>
    </row>
    <row r="685" spans="1:19" x14ac:dyDescent="0.3">
      <c r="A685">
        <v>18347</v>
      </c>
      <c r="B685" t="s">
        <v>35</v>
      </c>
      <c r="C685" t="s">
        <v>18</v>
      </c>
      <c r="D685">
        <v>30000</v>
      </c>
      <c r="E685" t="str">
        <f>IF(Sales_Data[[#This Row],[Income]]&lt;=20000,"Low Income",IF(Sales_Data[[#This Row],[Income]]&lt;=40000,"Lower Middle",IF(Sales_Data[[#This Row],[Income]]&lt;=60000,"Middle Income",IF(Sales_Data[[#This Row],[Income]]&lt;=80000,"Upper Middle","High Income"))))</f>
        <v>Lower Middle</v>
      </c>
      <c r="F685">
        <v>0</v>
      </c>
      <c r="G685" t="s">
        <v>27</v>
      </c>
      <c r="H685" t="s">
        <v>20</v>
      </c>
      <c r="I685" t="s">
        <v>32</v>
      </c>
      <c r="J685">
        <v>1</v>
      </c>
      <c r="K685" t="s">
        <v>43</v>
      </c>
      <c r="L685" t="s">
        <v>63</v>
      </c>
      <c r="M685">
        <v>31</v>
      </c>
      <c r="N685" t="s">
        <v>24</v>
      </c>
      <c r="O685" t="s">
        <v>29</v>
      </c>
      <c r="P685" s="2">
        <v>4765.5600000000004</v>
      </c>
      <c r="Q685" t="s">
        <v>44</v>
      </c>
      <c r="R685" s="1">
        <v>44942</v>
      </c>
      <c r="S685" s="1"/>
    </row>
    <row r="686" spans="1:19" x14ac:dyDescent="0.3">
      <c r="A686">
        <v>29052</v>
      </c>
      <c r="B686" t="s">
        <v>35</v>
      </c>
      <c r="C686" t="s">
        <v>17</v>
      </c>
      <c r="D686">
        <v>40000</v>
      </c>
      <c r="E686" t="str">
        <f>IF(Sales_Data[[#This Row],[Income]]&lt;=20000,"Low Income",IF(Sales_Data[[#This Row],[Income]]&lt;=40000,"Lower Middle",IF(Sales_Data[[#This Row],[Income]]&lt;=60000,"Middle Income",IF(Sales_Data[[#This Row],[Income]]&lt;=80000,"Upper Middle","High Income"))))</f>
        <v>Lower Middle</v>
      </c>
      <c r="F686">
        <v>0</v>
      </c>
      <c r="G686" t="s">
        <v>27</v>
      </c>
      <c r="H686" t="s">
        <v>20</v>
      </c>
      <c r="I686" t="s">
        <v>21</v>
      </c>
      <c r="J686">
        <v>1</v>
      </c>
      <c r="K686" t="s">
        <v>36</v>
      </c>
      <c r="L686" t="s">
        <v>63</v>
      </c>
      <c r="M686">
        <v>27</v>
      </c>
      <c r="N686" t="s">
        <v>38</v>
      </c>
      <c r="O686" t="s">
        <v>47</v>
      </c>
      <c r="P686" s="2">
        <v>3164.84</v>
      </c>
      <c r="Q686" t="s">
        <v>57</v>
      </c>
      <c r="R686" s="1">
        <v>45200</v>
      </c>
      <c r="S686" s="1"/>
    </row>
    <row r="687" spans="1:19" x14ac:dyDescent="0.3">
      <c r="A687">
        <v>19147</v>
      </c>
      <c r="B687" t="s">
        <v>17</v>
      </c>
      <c r="C687" t="s">
        <v>17</v>
      </c>
      <c r="D687">
        <v>40000</v>
      </c>
      <c r="E687" t="str">
        <f>IF(Sales_Data[[#This Row],[Income]]&lt;=20000,"Low Income",IF(Sales_Data[[#This Row],[Income]]&lt;=40000,"Lower Middle",IF(Sales_Data[[#This Row],[Income]]&lt;=60000,"Middle Income",IF(Sales_Data[[#This Row],[Income]]&lt;=80000,"Upper Middle","High Income"))))</f>
        <v>Lower Middle</v>
      </c>
      <c r="F687">
        <v>0</v>
      </c>
      <c r="G687" t="s">
        <v>19</v>
      </c>
      <c r="H687" t="s">
        <v>31</v>
      </c>
      <c r="I687" t="s">
        <v>32</v>
      </c>
      <c r="J687">
        <v>1</v>
      </c>
      <c r="K687" t="s">
        <v>22</v>
      </c>
      <c r="L687" t="s">
        <v>63</v>
      </c>
      <c r="M687">
        <v>42</v>
      </c>
      <c r="N687" t="s">
        <v>38</v>
      </c>
      <c r="O687" t="s">
        <v>54</v>
      </c>
      <c r="P687" s="2">
        <v>5951.69</v>
      </c>
      <c r="Q687" t="s">
        <v>51</v>
      </c>
      <c r="R687" s="1">
        <v>45085</v>
      </c>
      <c r="S687" s="1"/>
    </row>
    <row r="688" spans="1:19" x14ac:dyDescent="0.3">
      <c r="A688">
        <v>19217</v>
      </c>
      <c r="B688" t="s">
        <v>17</v>
      </c>
      <c r="C688" t="s">
        <v>17</v>
      </c>
      <c r="D688">
        <v>30000</v>
      </c>
      <c r="E688" t="str">
        <f>IF(Sales_Data[[#This Row],[Income]]&lt;=20000,"Low Income",IF(Sales_Data[[#This Row],[Income]]&lt;=40000,"Lower Middle",IF(Sales_Data[[#This Row],[Income]]&lt;=60000,"Middle Income",IF(Sales_Data[[#This Row],[Income]]&lt;=80000,"Upper Middle","High Income"))))</f>
        <v>Lower Middle</v>
      </c>
      <c r="F688">
        <v>2</v>
      </c>
      <c r="G688" t="s">
        <v>45</v>
      </c>
      <c r="H688" t="s">
        <v>20</v>
      </c>
      <c r="I688" t="s">
        <v>21</v>
      </c>
      <c r="J688">
        <v>2</v>
      </c>
      <c r="K688" t="s">
        <v>43</v>
      </c>
      <c r="L688" t="s">
        <v>63</v>
      </c>
      <c r="M688">
        <v>49</v>
      </c>
      <c r="N688" t="s">
        <v>38</v>
      </c>
      <c r="O688" t="s">
        <v>62</v>
      </c>
      <c r="P688" s="2">
        <v>7144.9</v>
      </c>
      <c r="Q688" t="s">
        <v>58</v>
      </c>
      <c r="R688" s="1">
        <v>45130</v>
      </c>
      <c r="S688" s="1"/>
    </row>
    <row r="689" spans="1:19" x14ac:dyDescent="0.3">
      <c r="A689">
        <v>15839</v>
      </c>
      <c r="B689" t="s">
        <v>35</v>
      </c>
      <c r="C689" t="s">
        <v>17</v>
      </c>
      <c r="D689">
        <v>30000</v>
      </c>
      <c r="E689" t="str">
        <f>IF(Sales_Data[[#This Row],[Income]]&lt;=20000,"Low Income",IF(Sales_Data[[#This Row],[Income]]&lt;=40000,"Lower Middle",IF(Sales_Data[[#This Row],[Income]]&lt;=60000,"Middle Income",IF(Sales_Data[[#This Row],[Income]]&lt;=80000,"Upper Middle","High Income"))))</f>
        <v>Lower Middle</v>
      </c>
      <c r="F689">
        <v>0</v>
      </c>
      <c r="G689" t="s">
        <v>27</v>
      </c>
      <c r="H689" t="s">
        <v>20</v>
      </c>
      <c r="I689" t="s">
        <v>21</v>
      </c>
      <c r="J689">
        <v>1</v>
      </c>
      <c r="K689" t="s">
        <v>36</v>
      </c>
      <c r="L689" t="s">
        <v>63</v>
      </c>
      <c r="M689">
        <v>32</v>
      </c>
      <c r="N689" t="s">
        <v>24</v>
      </c>
      <c r="O689" t="s">
        <v>55</v>
      </c>
      <c r="P689" s="2">
        <v>6194.81</v>
      </c>
      <c r="Q689" t="s">
        <v>59</v>
      </c>
      <c r="R689" s="1">
        <v>45022</v>
      </c>
      <c r="S689" s="1"/>
    </row>
    <row r="690" spans="1:19" x14ac:dyDescent="0.3">
      <c r="A690">
        <v>25041</v>
      </c>
      <c r="B690" t="s">
        <v>35</v>
      </c>
      <c r="C690" t="s">
        <v>17</v>
      </c>
      <c r="D690">
        <v>40000</v>
      </c>
      <c r="E690" t="str">
        <f>IF(Sales_Data[[#This Row],[Income]]&lt;=20000,"Low Income",IF(Sales_Data[[#This Row],[Income]]&lt;=40000,"Lower Middle",IF(Sales_Data[[#This Row],[Income]]&lt;=60000,"Middle Income",IF(Sales_Data[[#This Row],[Income]]&lt;=80000,"Upper Middle","High Income"))))</f>
        <v>Lower Middle</v>
      </c>
      <c r="F690">
        <v>0</v>
      </c>
      <c r="G690" t="s">
        <v>45</v>
      </c>
      <c r="H690" t="s">
        <v>20</v>
      </c>
      <c r="I690" t="s">
        <v>21</v>
      </c>
      <c r="J690">
        <v>2</v>
      </c>
      <c r="K690" t="s">
        <v>36</v>
      </c>
      <c r="L690" t="s">
        <v>63</v>
      </c>
      <c r="M690">
        <v>31</v>
      </c>
      <c r="N690" t="s">
        <v>38</v>
      </c>
      <c r="O690" t="s">
        <v>47</v>
      </c>
      <c r="P690" s="2">
        <v>3042.62</v>
      </c>
      <c r="Q690" t="s">
        <v>59</v>
      </c>
      <c r="R690" s="1">
        <v>45043</v>
      </c>
      <c r="S690" s="1"/>
    </row>
    <row r="691" spans="1:19" x14ac:dyDescent="0.3">
      <c r="A691">
        <v>24955</v>
      </c>
      <c r="B691" t="s">
        <v>35</v>
      </c>
      <c r="C691" t="s">
        <v>17</v>
      </c>
      <c r="D691">
        <v>30000</v>
      </c>
      <c r="E691" t="str">
        <f>IF(Sales_Data[[#This Row],[Income]]&lt;=20000,"Low Income",IF(Sales_Data[[#This Row],[Income]]&lt;=40000,"Lower Middle",IF(Sales_Data[[#This Row],[Income]]&lt;=60000,"Middle Income",IF(Sales_Data[[#This Row],[Income]]&lt;=80000,"Upper Middle","High Income"))))</f>
        <v>Lower Middle</v>
      </c>
      <c r="F691">
        <v>5</v>
      </c>
      <c r="G691" t="s">
        <v>50</v>
      </c>
      <c r="H691" t="s">
        <v>20</v>
      </c>
      <c r="I691" t="s">
        <v>21</v>
      </c>
      <c r="J691">
        <v>3</v>
      </c>
      <c r="K691" t="s">
        <v>53</v>
      </c>
      <c r="L691" t="s">
        <v>63</v>
      </c>
      <c r="M691">
        <v>60</v>
      </c>
      <c r="N691" t="s">
        <v>24</v>
      </c>
      <c r="O691" t="s">
        <v>29</v>
      </c>
      <c r="P691" s="2">
        <v>4670.26</v>
      </c>
      <c r="Q691" t="s">
        <v>60</v>
      </c>
      <c r="R691" s="1">
        <v>45251</v>
      </c>
      <c r="S691" s="1"/>
    </row>
    <row r="692" spans="1:19" x14ac:dyDescent="0.3">
      <c r="A692">
        <v>14883</v>
      </c>
      <c r="B692" t="s">
        <v>17</v>
      </c>
      <c r="C692" t="s">
        <v>18</v>
      </c>
      <c r="D692">
        <v>30000</v>
      </c>
      <c r="E692" t="str">
        <f>IF(Sales_Data[[#This Row],[Income]]&lt;=20000,"Low Income",IF(Sales_Data[[#This Row],[Income]]&lt;=40000,"Lower Middle",IF(Sales_Data[[#This Row],[Income]]&lt;=60000,"Middle Income",IF(Sales_Data[[#This Row],[Income]]&lt;=80000,"Upper Middle","High Income"))))</f>
        <v>Lower Middle</v>
      </c>
      <c r="F692">
        <v>1</v>
      </c>
      <c r="G692" t="s">
        <v>19</v>
      </c>
      <c r="H692" t="s">
        <v>20</v>
      </c>
      <c r="I692" t="s">
        <v>21</v>
      </c>
      <c r="J692">
        <v>1</v>
      </c>
      <c r="K692" t="s">
        <v>36</v>
      </c>
      <c r="L692" t="s">
        <v>63</v>
      </c>
      <c r="M692">
        <v>53</v>
      </c>
      <c r="N692" t="s">
        <v>38</v>
      </c>
      <c r="O692" t="s">
        <v>41</v>
      </c>
      <c r="P692" s="2">
        <v>7612.74</v>
      </c>
      <c r="Q692" t="s">
        <v>30</v>
      </c>
      <c r="R692" s="1">
        <v>45002</v>
      </c>
      <c r="S692" s="1"/>
    </row>
    <row r="693" spans="1:19" x14ac:dyDescent="0.3">
      <c r="A693">
        <v>18322</v>
      </c>
      <c r="B693" t="s">
        <v>35</v>
      </c>
      <c r="C693" t="s">
        <v>17</v>
      </c>
      <c r="D693">
        <v>30000</v>
      </c>
      <c r="E693" t="str">
        <f>IF(Sales_Data[[#This Row],[Income]]&lt;=20000,"Low Income",IF(Sales_Data[[#This Row],[Income]]&lt;=40000,"Lower Middle",IF(Sales_Data[[#This Row],[Income]]&lt;=60000,"Middle Income",IF(Sales_Data[[#This Row],[Income]]&lt;=80000,"Upper Middle","High Income"))))</f>
        <v>Lower Middle</v>
      </c>
      <c r="F693">
        <v>0</v>
      </c>
      <c r="G693" t="s">
        <v>50</v>
      </c>
      <c r="H693" t="s">
        <v>28</v>
      </c>
      <c r="I693" t="s">
        <v>32</v>
      </c>
      <c r="J693">
        <v>2</v>
      </c>
      <c r="K693" t="s">
        <v>22</v>
      </c>
      <c r="L693" t="s">
        <v>63</v>
      </c>
      <c r="M693">
        <v>26</v>
      </c>
      <c r="N693" t="s">
        <v>24</v>
      </c>
      <c r="O693" t="s">
        <v>49</v>
      </c>
      <c r="P693" s="2">
        <v>7747.31</v>
      </c>
      <c r="Q693" t="s">
        <v>58</v>
      </c>
      <c r="R693" s="1">
        <v>45135</v>
      </c>
      <c r="S693" s="1"/>
    </row>
    <row r="694" spans="1:19" x14ac:dyDescent="0.3">
      <c r="A694">
        <v>14872</v>
      </c>
      <c r="B694" t="s">
        <v>17</v>
      </c>
      <c r="C694" t="s">
        <v>17</v>
      </c>
      <c r="D694">
        <v>30000</v>
      </c>
      <c r="E694" t="str">
        <f>IF(Sales_Data[[#This Row],[Income]]&lt;=20000,"Low Income",IF(Sales_Data[[#This Row],[Income]]&lt;=40000,"Lower Middle",IF(Sales_Data[[#This Row],[Income]]&lt;=60000,"Middle Income",IF(Sales_Data[[#This Row],[Income]]&lt;=80000,"Upper Middle","High Income"))))</f>
        <v>Lower Middle</v>
      </c>
      <c r="F694">
        <v>0</v>
      </c>
      <c r="G694" t="s">
        <v>61</v>
      </c>
      <c r="H694" t="s">
        <v>20</v>
      </c>
      <c r="I694" t="s">
        <v>21</v>
      </c>
      <c r="J694">
        <v>0</v>
      </c>
      <c r="K694" t="s">
        <v>22</v>
      </c>
      <c r="L694" t="s">
        <v>63</v>
      </c>
      <c r="M694">
        <v>32</v>
      </c>
      <c r="N694" t="s">
        <v>24</v>
      </c>
      <c r="O694" t="s">
        <v>49</v>
      </c>
      <c r="P694" s="2">
        <v>1459.65</v>
      </c>
      <c r="Q694" t="s">
        <v>40</v>
      </c>
      <c r="R694" s="1">
        <v>45061</v>
      </c>
      <c r="S694" s="1"/>
    </row>
    <row r="695" spans="1:19" x14ac:dyDescent="0.3">
      <c r="A695">
        <v>19228</v>
      </c>
      <c r="B695" t="s">
        <v>17</v>
      </c>
      <c r="C695" t="s">
        <v>18</v>
      </c>
      <c r="D695">
        <v>40000</v>
      </c>
      <c r="E695" t="str">
        <f>IF(Sales_Data[[#This Row],[Income]]&lt;=20000,"Low Income",IF(Sales_Data[[#This Row],[Income]]&lt;=40000,"Lower Middle",IF(Sales_Data[[#This Row],[Income]]&lt;=60000,"Middle Income",IF(Sales_Data[[#This Row],[Income]]&lt;=80000,"Upper Middle","High Income"))))</f>
        <v>Lower Middle</v>
      </c>
      <c r="F695">
        <v>2</v>
      </c>
      <c r="G695" t="s">
        <v>27</v>
      </c>
      <c r="H695" t="s">
        <v>28</v>
      </c>
      <c r="I695" t="s">
        <v>21</v>
      </c>
      <c r="J695">
        <v>1</v>
      </c>
      <c r="K695" t="s">
        <v>22</v>
      </c>
      <c r="L695" t="s">
        <v>63</v>
      </c>
      <c r="M695">
        <v>48</v>
      </c>
      <c r="N695" t="s">
        <v>38</v>
      </c>
      <c r="O695" t="s">
        <v>62</v>
      </c>
      <c r="P695" s="2">
        <v>5560.88</v>
      </c>
      <c r="Q695" t="s">
        <v>56</v>
      </c>
      <c r="R695" s="1">
        <v>45171</v>
      </c>
      <c r="S695" s="1"/>
    </row>
    <row r="696" spans="1:19" x14ac:dyDescent="0.3">
      <c r="A696">
        <v>12029</v>
      </c>
      <c r="B696" t="s">
        <v>17</v>
      </c>
      <c r="C696" t="s">
        <v>17</v>
      </c>
      <c r="D696">
        <v>30000</v>
      </c>
      <c r="E696" t="str">
        <f>IF(Sales_Data[[#This Row],[Income]]&lt;=20000,"Low Income",IF(Sales_Data[[#This Row],[Income]]&lt;=40000,"Lower Middle",IF(Sales_Data[[#This Row],[Income]]&lt;=60000,"Middle Income",IF(Sales_Data[[#This Row],[Income]]&lt;=80000,"Upper Middle","High Income"))))</f>
        <v>Lower Middle</v>
      </c>
      <c r="F696">
        <v>0</v>
      </c>
      <c r="G696" t="s">
        <v>50</v>
      </c>
      <c r="H696" t="s">
        <v>28</v>
      </c>
      <c r="I696" t="s">
        <v>32</v>
      </c>
      <c r="J696">
        <v>2</v>
      </c>
      <c r="K696" t="s">
        <v>22</v>
      </c>
      <c r="L696" t="s">
        <v>63</v>
      </c>
      <c r="M696">
        <v>28</v>
      </c>
      <c r="N696" t="s">
        <v>24</v>
      </c>
      <c r="O696" t="s">
        <v>29</v>
      </c>
      <c r="P696" s="2">
        <v>9800.64</v>
      </c>
      <c r="Q696" t="s">
        <v>52</v>
      </c>
      <c r="R696" s="1">
        <v>44980</v>
      </c>
      <c r="S696" s="1"/>
    </row>
    <row r="697" spans="1:19" x14ac:dyDescent="0.3">
      <c r="A697">
        <v>16122</v>
      </c>
      <c r="B697" t="s">
        <v>17</v>
      </c>
      <c r="C697" t="s">
        <v>17</v>
      </c>
      <c r="D697">
        <v>40000</v>
      </c>
      <c r="E697" t="str">
        <f>IF(Sales_Data[[#This Row],[Income]]&lt;=20000,"Low Income",IF(Sales_Data[[#This Row],[Income]]&lt;=40000,"Lower Middle",IF(Sales_Data[[#This Row],[Income]]&lt;=60000,"Middle Income",IF(Sales_Data[[#This Row],[Income]]&lt;=80000,"Upper Middle","High Income"))))</f>
        <v>Lower Middle</v>
      </c>
      <c r="F697">
        <v>4</v>
      </c>
      <c r="G697" t="s">
        <v>45</v>
      </c>
      <c r="H697" t="s">
        <v>20</v>
      </c>
      <c r="I697" t="s">
        <v>21</v>
      </c>
      <c r="J697">
        <v>2</v>
      </c>
      <c r="K697" t="s">
        <v>22</v>
      </c>
      <c r="L697" t="s">
        <v>63</v>
      </c>
      <c r="M697">
        <v>44</v>
      </c>
      <c r="N697" t="s">
        <v>24</v>
      </c>
      <c r="O697" t="s">
        <v>25</v>
      </c>
      <c r="P697" s="2">
        <v>8628.4500000000007</v>
      </c>
      <c r="Q697" t="s">
        <v>44</v>
      </c>
      <c r="R697" s="1">
        <v>44928</v>
      </c>
      <c r="S697" s="1"/>
    </row>
    <row r="698" spans="1:19" x14ac:dyDescent="0.3">
      <c r="A698">
        <v>13934</v>
      </c>
      <c r="B698" t="s">
        <v>17</v>
      </c>
      <c r="C698" t="s">
        <v>17</v>
      </c>
      <c r="D698">
        <v>40000</v>
      </c>
      <c r="E698" t="str">
        <f>IF(Sales_Data[[#This Row],[Income]]&lt;=20000,"Low Income",IF(Sales_Data[[#This Row],[Income]]&lt;=40000,"Lower Middle",IF(Sales_Data[[#This Row],[Income]]&lt;=60000,"Middle Income",IF(Sales_Data[[#This Row],[Income]]&lt;=80000,"Upper Middle","High Income"))))</f>
        <v>Lower Middle</v>
      </c>
      <c r="F698">
        <v>4</v>
      </c>
      <c r="G698" t="s">
        <v>45</v>
      </c>
      <c r="H698" t="s">
        <v>20</v>
      </c>
      <c r="I698" t="s">
        <v>21</v>
      </c>
      <c r="J698">
        <v>2</v>
      </c>
      <c r="K698" t="s">
        <v>33</v>
      </c>
      <c r="L698" t="s">
        <v>63</v>
      </c>
      <c r="M698">
        <v>46</v>
      </c>
      <c r="N698" t="s">
        <v>24</v>
      </c>
      <c r="O698" t="s">
        <v>34</v>
      </c>
      <c r="P698" s="2">
        <v>825.84</v>
      </c>
      <c r="Q698" t="s">
        <v>58</v>
      </c>
      <c r="R698" s="1">
        <v>45129</v>
      </c>
      <c r="S698" s="1"/>
    </row>
    <row r="699" spans="1:19" x14ac:dyDescent="0.3">
      <c r="A699">
        <v>27190</v>
      </c>
      <c r="B699" t="s">
        <v>17</v>
      </c>
      <c r="C699" t="s">
        <v>18</v>
      </c>
      <c r="D699">
        <v>40000</v>
      </c>
      <c r="E699" t="str">
        <f>IF(Sales_Data[[#This Row],[Income]]&lt;=20000,"Low Income",IF(Sales_Data[[#This Row],[Income]]&lt;=40000,"Lower Middle",IF(Sales_Data[[#This Row],[Income]]&lt;=60000,"Middle Income",IF(Sales_Data[[#This Row],[Income]]&lt;=80000,"Upper Middle","High Income"))))</f>
        <v>Lower Middle</v>
      </c>
      <c r="F699">
        <v>3</v>
      </c>
      <c r="G699" t="s">
        <v>27</v>
      </c>
      <c r="H699" t="s">
        <v>28</v>
      </c>
      <c r="I699" t="s">
        <v>21</v>
      </c>
      <c r="J699">
        <v>1</v>
      </c>
      <c r="K699" t="s">
        <v>43</v>
      </c>
      <c r="L699" t="s">
        <v>63</v>
      </c>
      <c r="M699">
        <v>32</v>
      </c>
      <c r="N699" t="s">
        <v>24</v>
      </c>
      <c r="O699" t="s">
        <v>29</v>
      </c>
      <c r="P699" s="2">
        <v>1052.3900000000001</v>
      </c>
      <c r="Q699" t="s">
        <v>58</v>
      </c>
      <c r="R699" s="1">
        <v>45109</v>
      </c>
      <c r="S699" s="1"/>
    </row>
    <row r="700" spans="1:19" x14ac:dyDescent="0.3">
      <c r="A700">
        <v>21451</v>
      </c>
      <c r="B700" t="s">
        <v>17</v>
      </c>
      <c r="C700" t="s">
        <v>18</v>
      </c>
      <c r="D700">
        <v>40000</v>
      </c>
      <c r="E700" t="str">
        <f>IF(Sales_Data[[#This Row],[Income]]&lt;=20000,"Low Income",IF(Sales_Data[[#This Row],[Income]]&lt;=40000,"Lower Middle",IF(Sales_Data[[#This Row],[Income]]&lt;=60000,"Middle Income",IF(Sales_Data[[#This Row],[Income]]&lt;=80000,"Upper Middle","High Income"))))</f>
        <v>Lower Middle</v>
      </c>
      <c r="F700">
        <v>4</v>
      </c>
      <c r="G700" t="s">
        <v>45</v>
      </c>
      <c r="H700" t="s">
        <v>31</v>
      </c>
      <c r="I700" t="s">
        <v>21</v>
      </c>
      <c r="J700">
        <v>2</v>
      </c>
      <c r="K700" t="s">
        <v>53</v>
      </c>
      <c r="L700" t="s">
        <v>63</v>
      </c>
      <c r="M700">
        <v>61</v>
      </c>
      <c r="N700" t="s">
        <v>24</v>
      </c>
      <c r="O700" t="s">
        <v>34</v>
      </c>
      <c r="P700" s="2">
        <v>9373.19</v>
      </c>
      <c r="Q700" t="s">
        <v>44</v>
      </c>
      <c r="R700" s="1">
        <v>44955</v>
      </c>
      <c r="S700" s="1"/>
    </row>
    <row r="701" spans="1:19" x14ac:dyDescent="0.3">
      <c r="A701">
        <v>20754</v>
      </c>
      <c r="B701" t="s">
        <v>17</v>
      </c>
      <c r="C701" t="s">
        <v>17</v>
      </c>
      <c r="D701">
        <v>30000</v>
      </c>
      <c r="E701" t="str">
        <f>IF(Sales_Data[[#This Row],[Income]]&lt;=20000,"Low Income",IF(Sales_Data[[#This Row],[Income]]&lt;=40000,"Lower Middle",IF(Sales_Data[[#This Row],[Income]]&lt;=60000,"Middle Income",IF(Sales_Data[[#This Row],[Income]]&lt;=80000,"Upper Middle","High Income"))))</f>
        <v>Lower Middle</v>
      </c>
      <c r="F701">
        <v>2</v>
      </c>
      <c r="G701" t="s">
        <v>45</v>
      </c>
      <c r="H701" t="s">
        <v>20</v>
      </c>
      <c r="I701" t="s">
        <v>21</v>
      </c>
      <c r="J701">
        <v>2</v>
      </c>
      <c r="K701" t="s">
        <v>43</v>
      </c>
      <c r="L701" t="s">
        <v>63</v>
      </c>
      <c r="M701">
        <v>51</v>
      </c>
      <c r="N701" t="s">
        <v>24</v>
      </c>
      <c r="O701" t="s">
        <v>49</v>
      </c>
      <c r="P701" s="2">
        <v>3802.53</v>
      </c>
      <c r="Q701" t="s">
        <v>60</v>
      </c>
      <c r="R701" s="1">
        <v>45239</v>
      </c>
      <c r="S701" s="1"/>
    </row>
    <row r="702" spans="1:19" x14ac:dyDescent="0.3">
      <c r="A702">
        <v>16895</v>
      </c>
      <c r="B702" t="s">
        <v>17</v>
      </c>
      <c r="C702" t="s">
        <v>18</v>
      </c>
      <c r="D702">
        <v>40000</v>
      </c>
      <c r="E702" t="str">
        <f>IF(Sales_Data[[#This Row],[Income]]&lt;=20000,"Low Income",IF(Sales_Data[[#This Row],[Income]]&lt;=40000,"Lower Middle",IF(Sales_Data[[#This Row],[Income]]&lt;=60000,"Middle Income",IF(Sales_Data[[#This Row],[Income]]&lt;=80000,"Upper Middle","High Income"))))</f>
        <v>Lower Middle</v>
      </c>
      <c r="F702">
        <v>3</v>
      </c>
      <c r="G702" t="s">
        <v>27</v>
      </c>
      <c r="H702" t="s">
        <v>31</v>
      </c>
      <c r="I702" t="s">
        <v>32</v>
      </c>
      <c r="J702">
        <v>2</v>
      </c>
      <c r="K702" t="s">
        <v>43</v>
      </c>
      <c r="L702" t="s">
        <v>63</v>
      </c>
      <c r="M702">
        <v>54</v>
      </c>
      <c r="N702" t="s">
        <v>38</v>
      </c>
      <c r="O702" t="s">
        <v>41</v>
      </c>
      <c r="P702" s="2">
        <v>7520.22</v>
      </c>
      <c r="Q702" t="s">
        <v>40</v>
      </c>
      <c r="R702" s="1">
        <v>45063</v>
      </c>
      <c r="S702" s="1"/>
    </row>
    <row r="703" spans="1:19" x14ac:dyDescent="0.3">
      <c r="A703">
        <v>26495</v>
      </c>
      <c r="B703" t="s">
        <v>35</v>
      </c>
      <c r="C703" t="s">
        <v>18</v>
      </c>
      <c r="D703">
        <v>40000</v>
      </c>
      <c r="E703" t="str">
        <f>IF(Sales_Data[[#This Row],[Income]]&lt;=20000,"Low Income",IF(Sales_Data[[#This Row],[Income]]&lt;=40000,"Lower Middle",IF(Sales_Data[[#This Row],[Income]]&lt;=60000,"Middle Income",IF(Sales_Data[[#This Row],[Income]]&lt;=80000,"Upper Middle","High Income"))))</f>
        <v>Lower Middle</v>
      </c>
      <c r="F703">
        <v>2</v>
      </c>
      <c r="G703" t="s">
        <v>45</v>
      </c>
      <c r="H703" t="s">
        <v>31</v>
      </c>
      <c r="I703" t="s">
        <v>21</v>
      </c>
      <c r="J703">
        <v>2</v>
      </c>
      <c r="K703" t="s">
        <v>53</v>
      </c>
      <c r="L703" t="s">
        <v>63</v>
      </c>
      <c r="M703">
        <v>57</v>
      </c>
      <c r="N703" t="s">
        <v>38</v>
      </c>
      <c r="O703" t="s">
        <v>54</v>
      </c>
      <c r="P703" s="2">
        <v>6293.64</v>
      </c>
      <c r="Q703" t="s">
        <v>59</v>
      </c>
      <c r="R703" s="1">
        <v>45044</v>
      </c>
      <c r="S703" s="1"/>
    </row>
    <row r="704" spans="1:19" x14ac:dyDescent="0.3">
      <c r="A704">
        <v>14914</v>
      </c>
      <c r="B704" t="s">
        <v>17</v>
      </c>
      <c r="C704" t="s">
        <v>18</v>
      </c>
      <c r="D704">
        <v>40000</v>
      </c>
      <c r="E704" t="str">
        <f>IF(Sales_Data[[#This Row],[Income]]&lt;=20000,"Low Income",IF(Sales_Data[[#This Row],[Income]]&lt;=40000,"Lower Middle",IF(Sales_Data[[#This Row],[Income]]&lt;=60000,"Middle Income",IF(Sales_Data[[#This Row],[Income]]&lt;=80000,"Upper Middle","High Income"))))</f>
        <v>Lower Middle</v>
      </c>
      <c r="F704">
        <v>1</v>
      </c>
      <c r="G704" t="s">
        <v>27</v>
      </c>
      <c r="H704" t="s">
        <v>28</v>
      </c>
      <c r="I704" t="s">
        <v>21</v>
      </c>
      <c r="J704">
        <v>1</v>
      </c>
      <c r="K704" t="s">
        <v>43</v>
      </c>
      <c r="L704" t="s">
        <v>63</v>
      </c>
      <c r="M704">
        <v>49</v>
      </c>
      <c r="N704" t="s">
        <v>24</v>
      </c>
      <c r="O704" t="s">
        <v>49</v>
      </c>
      <c r="P704" s="2">
        <v>2609.63</v>
      </c>
      <c r="Q704" t="s">
        <v>30</v>
      </c>
      <c r="R704" s="1">
        <v>44996</v>
      </c>
      <c r="S704" s="1"/>
    </row>
    <row r="705" spans="1:19" x14ac:dyDescent="0.3">
      <c r="A705">
        <v>12033</v>
      </c>
      <c r="B705" t="s">
        <v>35</v>
      </c>
      <c r="C705" t="s">
        <v>18</v>
      </c>
      <c r="D705">
        <v>40000</v>
      </c>
      <c r="E705" t="str">
        <f>IF(Sales_Data[[#This Row],[Income]]&lt;=20000,"Low Income",IF(Sales_Data[[#This Row],[Income]]&lt;=40000,"Lower Middle",IF(Sales_Data[[#This Row],[Income]]&lt;=60000,"Middle Income",IF(Sales_Data[[#This Row],[Income]]&lt;=80000,"Upper Middle","High Income"))))</f>
        <v>Lower Middle</v>
      </c>
      <c r="F705">
        <v>0</v>
      </c>
      <c r="G705" t="s">
        <v>45</v>
      </c>
      <c r="H705" t="s">
        <v>20</v>
      </c>
      <c r="I705" t="s">
        <v>32</v>
      </c>
      <c r="J705">
        <v>2</v>
      </c>
      <c r="K705" t="s">
        <v>22</v>
      </c>
      <c r="L705" t="s">
        <v>63</v>
      </c>
      <c r="M705">
        <v>27</v>
      </c>
      <c r="N705" t="s">
        <v>38</v>
      </c>
      <c r="O705" t="s">
        <v>47</v>
      </c>
      <c r="P705" s="2">
        <v>7315.75</v>
      </c>
      <c r="Q705" t="s">
        <v>60</v>
      </c>
      <c r="R705" s="1">
        <v>45239</v>
      </c>
      <c r="S705" s="1"/>
    </row>
    <row r="706" spans="1:19" x14ac:dyDescent="0.3">
      <c r="A706">
        <v>27740</v>
      </c>
      <c r="B706" t="s">
        <v>17</v>
      </c>
      <c r="C706" t="s">
        <v>18</v>
      </c>
      <c r="D706">
        <v>40000</v>
      </c>
      <c r="E706" t="str">
        <f>IF(Sales_Data[[#This Row],[Income]]&lt;=20000,"Low Income",IF(Sales_Data[[#This Row],[Income]]&lt;=40000,"Lower Middle",IF(Sales_Data[[#This Row],[Income]]&lt;=60000,"Middle Income",IF(Sales_Data[[#This Row],[Income]]&lt;=80000,"Upper Middle","High Income"))))</f>
        <v>Lower Middle</v>
      </c>
      <c r="F706">
        <v>0</v>
      </c>
      <c r="G706" t="s">
        <v>45</v>
      </c>
      <c r="H706" t="s">
        <v>20</v>
      </c>
      <c r="I706" t="s">
        <v>21</v>
      </c>
      <c r="J706">
        <v>2</v>
      </c>
      <c r="K706" t="s">
        <v>36</v>
      </c>
      <c r="L706" t="s">
        <v>63</v>
      </c>
      <c r="M706">
        <v>27</v>
      </c>
      <c r="N706" t="s">
        <v>24</v>
      </c>
      <c r="O706" t="s">
        <v>34</v>
      </c>
      <c r="P706" s="2">
        <v>2304.88</v>
      </c>
      <c r="Q706" t="s">
        <v>51</v>
      </c>
      <c r="R706" s="1">
        <v>45083</v>
      </c>
      <c r="S706" s="1"/>
    </row>
    <row r="707" spans="1:19" x14ac:dyDescent="0.3">
      <c r="A707">
        <v>23513</v>
      </c>
      <c r="B707" t="s">
        <v>17</v>
      </c>
      <c r="C707" t="s">
        <v>18</v>
      </c>
      <c r="D707">
        <v>40000</v>
      </c>
      <c r="E707" t="str">
        <f>IF(Sales_Data[[#This Row],[Income]]&lt;=20000,"Low Income",IF(Sales_Data[[#This Row],[Income]]&lt;=40000,"Lower Middle",IF(Sales_Data[[#This Row],[Income]]&lt;=60000,"Middle Income",IF(Sales_Data[[#This Row],[Income]]&lt;=80000,"Upper Middle","High Income"))))</f>
        <v>Lower Middle</v>
      </c>
      <c r="F707">
        <v>3</v>
      </c>
      <c r="G707" t="s">
        <v>27</v>
      </c>
      <c r="H707" t="s">
        <v>31</v>
      </c>
      <c r="I707" t="s">
        <v>21</v>
      </c>
      <c r="J707">
        <v>2</v>
      </c>
      <c r="K707" t="s">
        <v>36</v>
      </c>
      <c r="L707" t="s">
        <v>63</v>
      </c>
      <c r="M707">
        <v>54</v>
      </c>
      <c r="N707" t="s">
        <v>38</v>
      </c>
      <c r="O707" t="s">
        <v>62</v>
      </c>
      <c r="P707" s="2">
        <v>1487.66</v>
      </c>
      <c r="Q707" t="s">
        <v>57</v>
      </c>
      <c r="R707" s="1">
        <v>45205</v>
      </c>
      <c r="S707" s="1"/>
    </row>
    <row r="708" spans="1:19" x14ac:dyDescent="0.3">
      <c r="A708">
        <v>17654</v>
      </c>
      <c r="B708" t="s">
        <v>35</v>
      </c>
      <c r="C708" t="s">
        <v>18</v>
      </c>
      <c r="D708">
        <v>40000</v>
      </c>
      <c r="E708" t="str">
        <f>IF(Sales_Data[[#This Row],[Income]]&lt;=20000,"Low Income",IF(Sales_Data[[#This Row],[Income]]&lt;=40000,"Lower Middle",IF(Sales_Data[[#This Row],[Income]]&lt;=60000,"Middle Income",IF(Sales_Data[[#This Row],[Income]]&lt;=80000,"Upper Middle","High Income"))))</f>
        <v>Lower Middle</v>
      </c>
      <c r="F708">
        <v>3</v>
      </c>
      <c r="G708" t="s">
        <v>27</v>
      </c>
      <c r="H708" t="s">
        <v>28</v>
      </c>
      <c r="I708" t="s">
        <v>21</v>
      </c>
      <c r="J708">
        <v>1</v>
      </c>
      <c r="K708" t="s">
        <v>43</v>
      </c>
      <c r="L708" t="s">
        <v>63</v>
      </c>
      <c r="M708">
        <v>30</v>
      </c>
      <c r="N708" t="s">
        <v>24</v>
      </c>
      <c r="O708" t="s">
        <v>29</v>
      </c>
      <c r="P708" s="2">
        <v>105.48</v>
      </c>
      <c r="Q708" t="s">
        <v>26</v>
      </c>
      <c r="R708" s="1">
        <v>45280</v>
      </c>
      <c r="S708" s="1"/>
    </row>
    <row r="709" spans="1:19" x14ac:dyDescent="0.3">
      <c r="A709">
        <v>17541</v>
      </c>
      <c r="B709" t="s">
        <v>17</v>
      </c>
      <c r="C709" t="s">
        <v>18</v>
      </c>
      <c r="D709">
        <v>40000</v>
      </c>
      <c r="E709" t="str">
        <f>IF(Sales_Data[[#This Row],[Income]]&lt;=20000,"Low Income",IF(Sales_Data[[#This Row],[Income]]&lt;=40000,"Lower Middle",IF(Sales_Data[[#This Row],[Income]]&lt;=60000,"Middle Income",IF(Sales_Data[[#This Row],[Income]]&lt;=80000,"Upper Middle","High Income"))))</f>
        <v>Lower Middle</v>
      </c>
      <c r="F709">
        <v>4</v>
      </c>
      <c r="G709" t="s">
        <v>45</v>
      </c>
      <c r="H709" t="s">
        <v>20</v>
      </c>
      <c r="I709" t="s">
        <v>21</v>
      </c>
      <c r="J709">
        <v>2</v>
      </c>
      <c r="K709" t="s">
        <v>33</v>
      </c>
      <c r="L709" t="s">
        <v>63</v>
      </c>
      <c r="M709">
        <v>43</v>
      </c>
      <c r="N709" t="s">
        <v>38</v>
      </c>
      <c r="O709" t="s">
        <v>54</v>
      </c>
      <c r="P709" s="2">
        <v>946.27</v>
      </c>
      <c r="Q709" t="s">
        <v>56</v>
      </c>
      <c r="R709" s="1">
        <v>45170</v>
      </c>
      <c r="S709" s="1"/>
    </row>
    <row r="710" spans="1:19" x14ac:dyDescent="0.3">
      <c r="A710">
        <v>18329</v>
      </c>
      <c r="B710" t="s">
        <v>35</v>
      </c>
      <c r="C710" t="s">
        <v>17</v>
      </c>
      <c r="D710">
        <v>30000</v>
      </c>
      <c r="E710" t="str">
        <f>IF(Sales_Data[[#This Row],[Income]]&lt;=20000,"Low Income",IF(Sales_Data[[#This Row],[Income]]&lt;=40000,"Lower Middle",IF(Sales_Data[[#This Row],[Income]]&lt;=60000,"Middle Income",IF(Sales_Data[[#This Row],[Income]]&lt;=80000,"Upper Middle","High Income"))))</f>
        <v>Lower Middle</v>
      </c>
      <c r="F710">
        <v>0</v>
      </c>
      <c r="G710" t="s">
        <v>50</v>
      </c>
      <c r="H710" t="s">
        <v>28</v>
      </c>
      <c r="I710" t="s">
        <v>32</v>
      </c>
      <c r="J710">
        <v>2</v>
      </c>
      <c r="K710" t="s">
        <v>36</v>
      </c>
      <c r="L710" t="s">
        <v>63</v>
      </c>
      <c r="M710">
        <v>27</v>
      </c>
      <c r="N710" t="s">
        <v>24</v>
      </c>
      <c r="O710" t="s">
        <v>34</v>
      </c>
      <c r="P710" s="2">
        <v>9685.16</v>
      </c>
      <c r="Q710" t="s">
        <v>57</v>
      </c>
      <c r="R710" s="1">
        <v>45203</v>
      </c>
      <c r="S710" s="1"/>
    </row>
    <row r="711" spans="1:19" x14ac:dyDescent="0.3">
      <c r="A711">
        <v>14887</v>
      </c>
      <c r="B711" t="s">
        <v>17</v>
      </c>
      <c r="C711" t="s">
        <v>18</v>
      </c>
      <c r="D711">
        <v>30000</v>
      </c>
      <c r="E711" t="str">
        <f>IF(Sales_Data[[#This Row],[Income]]&lt;=20000,"Low Income",IF(Sales_Data[[#This Row],[Income]]&lt;=40000,"Lower Middle",IF(Sales_Data[[#This Row],[Income]]&lt;=60000,"Middle Income",IF(Sales_Data[[#This Row],[Income]]&lt;=80000,"Upper Middle","High Income"))))</f>
        <v>Lower Middle</v>
      </c>
      <c r="F711">
        <v>1</v>
      </c>
      <c r="G711" t="s">
        <v>45</v>
      </c>
      <c r="H711" t="s">
        <v>28</v>
      </c>
      <c r="I711" t="s">
        <v>21</v>
      </c>
      <c r="J711">
        <v>1</v>
      </c>
      <c r="K711" t="s">
        <v>36</v>
      </c>
      <c r="L711" t="s">
        <v>63</v>
      </c>
      <c r="M711">
        <v>52</v>
      </c>
      <c r="N711" t="s">
        <v>38</v>
      </c>
      <c r="O711" t="s">
        <v>39</v>
      </c>
      <c r="P711" s="2">
        <v>9503.16</v>
      </c>
      <c r="Q711" t="s">
        <v>58</v>
      </c>
      <c r="R711" s="1">
        <v>45120</v>
      </c>
      <c r="S711" s="1"/>
    </row>
    <row r="712" spans="1:19" x14ac:dyDescent="0.3">
      <c r="A712">
        <v>17337</v>
      </c>
      <c r="B712" t="s">
        <v>35</v>
      </c>
      <c r="C712" t="s">
        <v>17</v>
      </c>
      <c r="D712">
        <v>40000</v>
      </c>
      <c r="E712" t="str">
        <f>IF(Sales_Data[[#This Row],[Income]]&lt;=20000,"Low Income",IF(Sales_Data[[#This Row],[Income]]&lt;=40000,"Lower Middle",IF(Sales_Data[[#This Row],[Income]]&lt;=60000,"Middle Income",IF(Sales_Data[[#This Row],[Income]]&lt;=80000,"Upper Middle","High Income"))))</f>
        <v>Lower Middle</v>
      </c>
      <c r="F712">
        <v>0</v>
      </c>
      <c r="G712" t="s">
        <v>45</v>
      </c>
      <c r="H712" t="s">
        <v>20</v>
      </c>
      <c r="I712" t="s">
        <v>21</v>
      </c>
      <c r="J712">
        <v>1</v>
      </c>
      <c r="K712" t="s">
        <v>36</v>
      </c>
      <c r="L712" t="s">
        <v>63</v>
      </c>
      <c r="M712">
        <v>31</v>
      </c>
      <c r="N712" t="s">
        <v>38</v>
      </c>
      <c r="O712" t="s">
        <v>47</v>
      </c>
      <c r="P712" s="2">
        <v>2867.43</v>
      </c>
      <c r="Q712" t="s">
        <v>58</v>
      </c>
      <c r="R712" s="1">
        <v>45125</v>
      </c>
      <c r="S712" s="1"/>
    </row>
    <row r="713" spans="1:19" x14ac:dyDescent="0.3">
      <c r="A713">
        <v>28625</v>
      </c>
      <c r="B713" t="s">
        <v>35</v>
      </c>
      <c r="C713" t="s">
        <v>17</v>
      </c>
      <c r="D713">
        <v>40000</v>
      </c>
      <c r="E713" t="str">
        <f>IF(Sales_Data[[#This Row],[Income]]&lt;=20000,"Low Income",IF(Sales_Data[[#This Row],[Income]]&lt;=40000,"Lower Middle",IF(Sales_Data[[#This Row],[Income]]&lt;=60000,"Middle Income",IF(Sales_Data[[#This Row],[Income]]&lt;=80000,"Upper Middle","High Income"))))</f>
        <v>Lower Middle</v>
      </c>
      <c r="F713">
        <v>2</v>
      </c>
      <c r="G713" t="s">
        <v>27</v>
      </c>
      <c r="H713" t="s">
        <v>28</v>
      </c>
      <c r="I713" t="s">
        <v>32</v>
      </c>
      <c r="J713">
        <v>1</v>
      </c>
      <c r="K713" t="s">
        <v>43</v>
      </c>
      <c r="L713" t="s">
        <v>63</v>
      </c>
      <c r="M713">
        <v>47</v>
      </c>
      <c r="N713" t="s">
        <v>38</v>
      </c>
      <c r="O713" t="s">
        <v>54</v>
      </c>
      <c r="P713" s="2">
        <v>2513.52</v>
      </c>
      <c r="Q713" t="s">
        <v>40</v>
      </c>
      <c r="R713" s="1">
        <v>45058</v>
      </c>
      <c r="S713" s="1"/>
    </row>
    <row r="714" spans="1:19" x14ac:dyDescent="0.3">
      <c r="A714">
        <v>23704</v>
      </c>
      <c r="B714" t="s">
        <v>35</v>
      </c>
      <c r="C714" t="s">
        <v>17</v>
      </c>
      <c r="D714">
        <v>40000</v>
      </c>
      <c r="E714" t="str">
        <f>IF(Sales_Data[[#This Row],[Income]]&lt;=20000,"Low Income",IF(Sales_Data[[#This Row],[Income]]&lt;=40000,"Lower Middle",IF(Sales_Data[[#This Row],[Income]]&lt;=60000,"Middle Income",IF(Sales_Data[[#This Row],[Income]]&lt;=80000,"Upper Middle","High Income"))))</f>
        <v>Lower Middle</v>
      </c>
      <c r="F714">
        <v>5</v>
      </c>
      <c r="G714" t="s">
        <v>45</v>
      </c>
      <c r="H714" t="s">
        <v>31</v>
      </c>
      <c r="I714" t="s">
        <v>21</v>
      </c>
      <c r="J714">
        <v>4</v>
      </c>
      <c r="K714" t="s">
        <v>53</v>
      </c>
      <c r="L714" t="s">
        <v>63</v>
      </c>
      <c r="M714">
        <v>60</v>
      </c>
      <c r="N714" t="s">
        <v>38</v>
      </c>
      <c r="O714" t="s">
        <v>54</v>
      </c>
      <c r="P714" s="2">
        <v>1696.24</v>
      </c>
      <c r="Q714" t="s">
        <v>56</v>
      </c>
      <c r="R714" s="1">
        <v>45190</v>
      </c>
      <c r="S714" s="1"/>
    </row>
    <row r="715" spans="1:19" x14ac:dyDescent="0.3">
      <c r="A715">
        <v>14332</v>
      </c>
      <c r="B715" t="s">
        <v>35</v>
      </c>
      <c r="C715" t="s">
        <v>18</v>
      </c>
      <c r="D715">
        <v>30000</v>
      </c>
      <c r="E715" t="str">
        <f>IF(Sales_Data[[#This Row],[Income]]&lt;=20000,"Low Income",IF(Sales_Data[[#This Row],[Income]]&lt;=40000,"Lower Middle",IF(Sales_Data[[#This Row],[Income]]&lt;=60000,"Middle Income",IF(Sales_Data[[#This Row],[Income]]&lt;=80000,"Upper Middle","High Income"))))</f>
        <v>Lower Middle</v>
      </c>
      <c r="F715">
        <v>0</v>
      </c>
      <c r="G715" t="s">
        <v>45</v>
      </c>
      <c r="H715" t="s">
        <v>20</v>
      </c>
      <c r="I715" t="s">
        <v>32</v>
      </c>
      <c r="J715">
        <v>2</v>
      </c>
      <c r="K715" t="s">
        <v>36</v>
      </c>
      <c r="L715" t="s">
        <v>63</v>
      </c>
      <c r="M715">
        <v>26</v>
      </c>
      <c r="N715" t="s">
        <v>24</v>
      </c>
      <c r="O715" t="s">
        <v>29</v>
      </c>
      <c r="P715" s="2">
        <v>3188.48</v>
      </c>
      <c r="Q715" t="s">
        <v>57</v>
      </c>
      <c r="R715" s="1">
        <v>45211</v>
      </c>
      <c r="S715" s="1"/>
    </row>
    <row r="716" spans="1:19" x14ac:dyDescent="0.3">
      <c r="A716">
        <v>22173</v>
      </c>
      <c r="B716" t="s">
        <v>17</v>
      </c>
      <c r="C716" t="s">
        <v>18</v>
      </c>
      <c r="D716">
        <v>30000</v>
      </c>
      <c r="E716" t="str">
        <f>IF(Sales_Data[[#This Row],[Income]]&lt;=20000,"Low Income",IF(Sales_Data[[#This Row],[Income]]&lt;=40000,"Lower Middle",IF(Sales_Data[[#This Row],[Income]]&lt;=60000,"Middle Income",IF(Sales_Data[[#This Row],[Income]]&lt;=80000,"Upper Middle","High Income"))))</f>
        <v>Lower Middle</v>
      </c>
      <c r="F716">
        <v>3</v>
      </c>
      <c r="G716" t="s">
        <v>45</v>
      </c>
      <c r="H716" t="s">
        <v>20</v>
      </c>
      <c r="I716" t="s">
        <v>32</v>
      </c>
      <c r="J716">
        <v>2</v>
      </c>
      <c r="K716" t="s">
        <v>43</v>
      </c>
      <c r="L716" t="s">
        <v>37</v>
      </c>
      <c r="M716">
        <v>54</v>
      </c>
      <c r="N716" t="s">
        <v>24</v>
      </c>
      <c r="O716" t="s">
        <v>25</v>
      </c>
      <c r="P716" s="2">
        <v>1082.1600000000001</v>
      </c>
      <c r="Q716" t="s">
        <v>51</v>
      </c>
      <c r="R716" s="1">
        <v>45102</v>
      </c>
      <c r="S716" s="1"/>
    </row>
    <row r="717" spans="1:19" x14ac:dyDescent="0.3">
      <c r="A717">
        <v>25323</v>
      </c>
      <c r="B717" t="s">
        <v>17</v>
      </c>
      <c r="C717" t="s">
        <v>17</v>
      </c>
      <c r="D717">
        <v>40000</v>
      </c>
      <c r="E717" t="str">
        <f>IF(Sales_Data[[#This Row],[Income]]&lt;=20000,"Low Income",IF(Sales_Data[[#This Row],[Income]]&lt;=40000,"Lower Middle",IF(Sales_Data[[#This Row],[Income]]&lt;=60000,"Middle Income",IF(Sales_Data[[#This Row],[Income]]&lt;=80000,"Upper Middle","High Income"))))</f>
        <v>Lower Middle</v>
      </c>
      <c r="F717">
        <v>2</v>
      </c>
      <c r="G717" t="s">
        <v>27</v>
      </c>
      <c r="H717" t="s">
        <v>28</v>
      </c>
      <c r="I717" t="s">
        <v>21</v>
      </c>
      <c r="J717">
        <v>1</v>
      </c>
      <c r="K717" t="s">
        <v>43</v>
      </c>
      <c r="L717" t="s">
        <v>23</v>
      </c>
      <c r="M717">
        <v>35</v>
      </c>
      <c r="N717" t="s">
        <v>24</v>
      </c>
      <c r="O717" t="s">
        <v>29</v>
      </c>
      <c r="P717" s="2">
        <v>5270.66</v>
      </c>
      <c r="Q717" t="s">
        <v>59</v>
      </c>
      <c r="R717" s="1">
        <v>45040</v>
      </c>
      <c r="S717" s="1"/>
    </row>
    <row r="718" spans="1:19" x14ac:dyDescent="0.3">
      <c r="A718">
        <v>23316</v>
      </c>
      <c r="B718" t="s">
        <v>35</v>
      </c>
      <c r="C718" t="s">
        <v>17</v>
      </c>
      <c r="D718">
        <v>30000</v>
      </c>
      <c r="E718" t="str">
        <f>IF(Sales_Data[[#This Row],[Income]]&lt;=20000,"Low Income",IF(Sales_Data[[#This Row],[Income]]&lt;=40000,"Lower Middle",IF(Sales_Data[[#This Row],[Income]]&lt;=60000,"Middle Income",IF(Sales_Data[[#This Row],[Income]]&lt;=80000,"Upper Middle","High Income"))))</f>
        <v>Lower Middle</v>
      </c>
      <c r="F718">
        <v>3</v>
      </c>
      <c r="G718" t="s">
        <v>27</v>
      </c>
      <c r="H718" t="s">
        <v>28</v>
      </c>
      <c r="I718" t="s">
        <v>32</v>
      </c>
      <c r="J718">
        <v>2</v>
      </c>
      <c r="K718" t="s">
        <v>43</v>
      </c>
      <c r="L718" t="s">
        <v>37</v>
      </c>
      <c r="M718">
        <v>59</v>
      </c>
      <c r="N718" t="s">
        <v>24</v>
      </c>
      <c r="O718" t="s">
        <v>55</v>
      </c>
      <c r="P718" s="2">
        <v>2390.48</v>
      </c>
      <c r="Q718" t="s">
        <v>26</v>
      </c>
      <c r="R718" s="1">
        <v>45273</v>
      </c>
      <c r="S718" s="1"/>
    </row>
    <row r="719" spans="1:19" x14ac:dyDescent="0.3">
      <c r="A719">
        <v>12610</v>
      </c>
      <c r="B719" t="s">
        <v>17</v>
      </c>
      <c r="C719" t="s">
        <v>18</v>
      </c>
      <c r="D719">
        <v>30000</v>
      </c>
      <c r="E719" t="str">
        <f>IF(Sales_Data[[#This Row],[Income]]&lt;=20000,"Low Income",IF(Sales_Data[[#This Row],[Income]]&lt;=40000,"Lower Middle",IF(Sales_Data[[#This Row],[Income]]&lt;=60000,"Middle Income",IF(Sales_Data[[#This Row],[Income]]&lt;=80000,"Upper Middle","High Income"))))</f>
        <v>Lower Middle</v>
      </c>
      <c r="F719">
        <v>1</v>
      </c>
      <c r="G719" t="s">
        <v>19</v>
      </c>
      <c r="H719" t="s">
        <v>28</v>
      </c>
      <c r="I719" t="s">
        <v>21</v>
      </c>
      <c r="J719">
        <v>0</v>
      </c>
      <c r="K719" t="s">
        <v>22</v>
      </c>
      <c r="L719" t="s">
        <v>23</v>
      </c>
      <c r="M719">
        <v>47</v>
      </c>
      <c r="N719" t="s">
        <v>24</v>
      </c>
      <c r="O719" t="s">
        <v>49</v>
      </c>
      <c r="P719" s="2">
        <v>2650.11</v>
      </c>
      <c r="Q719" t="s">
        <v>52</v>
      </c>
      <c r="R719" s="1">
        <v>44972</v>
      </c>
      <c r="S719" s="1"/>
    </row>
    <row r="720" spans="1:19" x14ac:dyDescent="0.3">
      <c r="A720">
        <v>27183</v>
      </c>
      <c r="B720" t="s">
        <v>35</v>
      </c>
      <c r="C720" t="s">
        <v>17</v>
      </c>
      <c r="D720">
        <v>40000</v>
      </c>
      <c r="E720" t="str">
        <f>IF(Sales_Data[[#This Row],[Income]]&lt;=20000,"Low Income",IF(Sales_Data[[#This Row],[Income]]&lt;=40000,"Lower Middle",IF(Sales_Data[[#This Row],[Income]]&lt;=60000,"Middle Income",IF(Sales_Data[[#This Row],[Income]]&lt;=80000,"Upper Middle","High Income"))))</f>
        <v>Lower Middle</v>
      </c>
      <c r="F720">
        <v>2</v>
      </c>
      <c r="G720" t="s">
        <v>27</v>
      </c>
      <c r="H720" t="s">
        <v>28</v>
      </c>
      <c r="I720" t="s">
        <v>21</v>
      </c>
      <c r="J720">
        <v>1</v>
      </c>
      <c r="K720" t="s">
        <v>43</v>
      </c>
      <c r="L720" t="s">
        <v>23</v>
      </c>
      <c r="M720">
        <v>35</v>
      </c>
      <c r="N720" t="s">
        <v>24</v>
      </c>
      <c r="O720" t="s">
        <v>29</v>
      </c>
      <c r="P720" s="2">
        <v>4080.21</v>
      </c>
      <c r="Q720" t="s">
        <v>59</v>
      </c>
      <c r="R720" s="1">
        <v>45021</v>
      </c>
      <c r="S720" s="1"/>
    </row>
    <row r="721" spans="1:19" x14ac:dyDescent="0.3">
      <c r="A721">
        <v>25598</v>
      </c>
      <c r="B721" t="s">
        <v>17</v>
      </c>
      <c r="C721" t="s">
        <v>18</v>
      </c>
      <c r="D721">
        <v>40000</v>
      </c>
      <c r="E721" t="str">
        <f>IF(Sales_Data[[#This Row],[Income]]&lt;=20000,"Low Income",IF(Sales_Data[[#This Row],[Income]]&lt;=40000,"Lower Middle",IF(Sales_Data[[#This Row],[Income]]&lt;=60000,"Middle Income",IF(Sales_Data[[#This Row],[Income]]&lt;=80000,"Upper Middle","High Income"))))</f>
        <v>Lower Middle</v>
      </c>
      <c r="F721">
        <v>0</v>
      </c>
      <c r="G721" t="s">
        <v>61</v>
      </c>
      <c r="H721" t="s">
        <v>28</v>
      </c>
      <c r="I721" t="s">
        <v>21</v>
      </c>
      <c r="J721">
        <v>0</v>
      </c>
      <c r="K721" t="s">
        <v>22</v>
      </c>
      <c r="L721" t="s">
        <v>23</v>
      </c>
      <c r="M721">
        <v>36</v>
      </c>
      <c r="N721" t="s">
        <v>38</v>
      </c>
      <c r="O721" t="s">
        <v>41</v>
      </c>
      <c r="P721" s="2">
        <v>8184.76</v>
      </c>
      <c r="Q721" t="s">
        <v>40</v>
      </c>
      <c r="R721" s="1">
        <v>45068</v>
      </c>
      <c r="S721" s="1"/>
    </row>
    <row r="722" spans="1:19" x14ac:dyDescent="0.3">
      <c r="A722">
        <v>19193</v>
      </c>
      <c r="B722" t="s">
        <v>35</v>
      </c>
      <c r="C722" t="s">
        <v>17</v>
      </c>
      <c r="D722">
        <v>40000</v>
      </c>
      <c r="E722" t="str">
        <f>IF(Sales_Data[[#This Row],[Income]]&lt;=20000,"Low Income",IF(Sales_Data[[#This Row],[Income]]&lt;=40000,"Lower Middle",IF(Sales_Data[[#This Row],[Income]]&lt;=60000,"Middle Income",IF(Sales_Data[[#This Row],[Income]]&lt;=80000,"Upper Middle","High Income"))))</f>
        <v>Lower Middle</v>
      </c>
      <c r="F722">
        <v>2</v>
      </c>
      <c r="G722" t="s">
        <v>27</v>
      </c>
      <c r="H722" t="s">
        <v>28</v>
      </c>
      <c r="I722" t="s">
        <v>21</v>
      </c>
      <c r="J722">
        <v>0</v>
      </c>
      <c r="K722" t="s">
        <v>43</v>
      </c>
      <c r="L722" t="s">
        <v>23</v>
      </c>
      <c r="M722">
        <v>35</v>
      </c>
      <c r="N722" t="s">
        <v>38</v>
      </c>
      <c r="O722" t="s">
        <v>62</v>
      </c>
      <c r="P722" s="2">
        <v>5217.05</v>
      </c>
      <c r="Q722" t="s">
        <v>51</v>
      </c>
      <c r="R722" s="1">
        <v>45097</v>
      </c>
      <c r="S722" s="1"/>
    </row>
    <row r="723" spans="1:19" x14ac:dyDescent="0.3">
      <c r="A723">
        <v>27184</v>
      </c>
      <c r="B723" t="s">
        <v>35</v>
      </c>
      <c r="C723" t="s">
        <v>17</v>
      </c>
      <c r="D723">
        <v>40000</v>
      </c>
      <c r="E723" t="str">
        <f>IF(Sales_Data[[#This Row],[Income]]&lt;=20000,"Low Income",IF(Sales_Data[[#This Row],[Income]]&lt;=40000,"Lower Middle",IF(Sales_Data[[#This Row],[Income]]&lt;=60000,"Middle Income",IF(Sales_Data[[#This Row],[Income]]&lt;=80000,"Upper Middle","High Income"))))</f>
        <v>Lower Middle</v>
      </c>
      <c r="F723">
        <v>2</v>
      </c>
      <c r="G723" t="s">
        <v>27</v>
      </c>
      <c r="H723" t="s">
        <v>28</v>
      </c>
      <c r="I723" t="s">
        <v>32</v>
      </c>
      <c r="J723">
        <v>1</v>
      </c>
      <c r="K723" t="s">
        <v>22</v>
      </c>
      <c r="L723" t="s">
        <v>23</v>
      </c>
      <c r="M723">
        <v>34</v>
      </c>
      <c r="N723" t="s">
        <v>24</v>
      </c>
      <c r="O723" t="s">
        <v>49</v>
      </c>
      <c r="P723" s="2">
        <v>9109.7900000000009</v>
      </c>
      <c r="Q723" t="s">
        <v>58</v>
      </c>
      <c r="R723" s="1">
        <v>45133</v>
      </c>
      <c r="S723" s="1"/>
    </row>
    <row r="724" spans="1:19" x14ac:dyDescent="0.3">
      <c r="A724">
        <v>12590</v>
      </c>
      <c r="B724" t="s">
        <v>35</v>
      </c>
      <c r="C724" t="s">
        <v>17</v>
      </c>
      <c r="D724">
        <v>30000</v>
      </c>
      <c r="E724" t="str">
        <f>IF(Sales_Data[[#This Row],[Income]]&lt;=20000,"Low Income",IF(Sales_Data[[#This Row],[Income]]&lt;=40000,"Lower Middle",IF(Sales_Data[[#This Row],[Income]]&lt;=60000,"Middle Income",IF(Sales_Data[[#This Row],[Income]]&lt;=80000,"Upper Middle","High Income"))))</f>
        <v>Lower Middle</v>
      </c>
      <c r="F724">
        <v>1</v>
      </c>
      <c r="G724" t="s">
        <v>19</v>
      </c>
      <c r="H724" t="s">
        <v>28</v>
      </c>
      <c r="I724" t="s">
        <v>21</v>
      </c>
      <c r="J724">
        <v>0</v>
      </c>
      <c r="K724" t="s">
        <v>22</v>
      </c>
      <c r="L724" t="s">
        <v>23</v>
      </c>
      <c r="M724">
        <v>63</v>
      </c>
      <c r="N724" t="s">
        <v>24</v>
      </c>
      <c r="O724" t="s">
        <v>49</v>
      </c>
      <c r="P724" s="2">
        <v>2877.45</v>
      </c>
      <c r="Q724" t="s">
        <v>40</v>
      </c>
      <c r="R724" s="1">
        <v>45064</v>
      </c>
      <c r="S724" s="1"/>
    </row>
    <row r="725" spans="1:19" x14ac:dyDescent="0.3">
      <c r="A725">
        <v>17841</v>
      </c>
      <c r="B725" t="s">
        <v>35</v>
      </c>
      <c r="C725" t="s">
        <v>17</v>
      </c>
      <c r="D725">
        <v>30000</v>
      </c>
      <c r="E725" t="str">
        <f>IF(Sales_Data[[#This Row],[Income]]&lt;=20000,"Low Income",IF(Sales_Data[[#This Row],[Income]]&lt;=40000,"Lower Middle",IF(Sales_Data[[#This Row],[Income]]&lt;=60000,"Middle Income",IF(Sales_Data[[#This Row],[Income]]&lt;=80000,"Upper Middle","High Income"))))</f>
        <v>Lower Middle</v>
      </c>
      <c r="F725">
        <v>0</v>
      </c>
      <c r="G725" t="s">
        <v>27</v>
      </c>
      <c r="H725" t="s">
        <v>28</v>
      </c>
      <c r="I725" t="s">
        <v>32</v>
      </c>
      <c r="J725">
        <v>1</v>
      </c>
      <c r="K725" t="s">
        <v>22</v>
      </c>
      <c r="L725" t="s">
        <v>23</v>
      </c>
      <c r="M725">
        <v>29</v>
      </c>
      <c r="N725" t="s">
        <v>24</v>
      </c>
      <c r="O725" t="s">
        <v>25</v>
      </c>
      <c r="P725" s="2">
        <v>8300.19</v>
      </c>
      <c r="Q725" t="s">
        <v>60</v>
      </c>
      <c r="R725" s="1">
        <v>45244</v>
      </c>
      <c r="S725" s="1"/>
    </row>
    <row r="726" spans="1:19" x14ac:dyDescent="0.3">
      <c r="A726">
        <v>13507</v>
      </c>
      <c r="B726" t="s">
        <v>17</v>
      </c>
      <c r="C726" t="s">
        <v>18</v>
      </c>
      <c r="D726">
        <v>10000</v>
      </c>
      <c r="E726" t="str">
        <f>IF(Sales_Data[[#This Row],[Income]]&lt;=20000,"Low Income",IF(Sales_Data[[#This Row],[Income]]&lt;=40000,"Lower Middle",IF(Sales_Data[[#This Row],[Income]]&lt;=60000,"Middle Income",IF(Sales_Data[[#This Row],[Income]]&lt;=80000,"Upper Middle","High Income"))))</f>
        <v>Low Income</v>
      </c>
      <c r="F726">
        <v>2</v>
      </c>
      <c r="G726" t="s">
        <v>27</v>
      </c>
      <c r="H726" t="s">
        <v>42</v>
      </c>
      <c r="I726" t="s">
        <v>21</v>
      </c>
      <c r="J726">
        <v>0</v>
      </c>
      <c r="K726" t="s">
        <v>43</v>
      </c>
      <c r="L726" t="s">
        <v>23</v>
      </c>
      <c r="M726">
        <v>50</v>
      </c>
      <c r="N726" t="s">
        <v>24</v>
      </c>
      <c r="O726" t="s">
        <v>34</v>
      </c>
      <c r="P726" s="2">
        <v>3548.73</v>
      </c>
      <c r="Q726" t="s">
        <v>44</v>
      </c>
      <c r="R726" s="1">
        <v>44929</v>
      </c>
      <c r="S726" s="1"/>
    </row>
    <row r="727" spans="1:19" x14ac:dyDescent="0.3">
      <c r="A727">
        <v>22155</v>
      </c>
      <c r="B727" t="s">
        <v>17</v>
      </c>
      <c r="C727" t="s">
        <v>17</v>
      </c>
      <c r="D727">
        <v>20000</v>
      </c>
      <c r="E727" t="str">
        <f>IF(Sales_Data[[#This Row],[Income]]&lt;=20000,"Low Income",IF(Sales_Data[[#This Row],[Income]]&lt;=40000,"Lower Middle",IF(Sales_Data[[#This Row],[Income]]&lt;=60000,"Middle Income",IF(Sales_Data[[#This Row],[Income]]&lt;=80000,"Upper Middle","High Income"))))</f>
        <v>Low Income</v>
      </c>
      <c r="F727">
        <v>2</v>
      </c>
      <c r="G727" t="s">
        <v>50</v>
      </c>
      <c r="H727" t="s">
        <v>28</v>
      </c>
      <c r="I727" t="s">
        <v>21</v>
      </c>
      <c r="J727">
        <v>2</v>
      </c>
      <c r="K727" t="s">
        <v>36</v>
      </c>
      <c r="L727" t="s">
        <v>37</v>
      </c>
      <c r="M727">
        <v>58</v>
      </c>
      <c r="N727" t="s">
        <v>24</v>
      </c>
      <c r="O727" t="s">
        <v>29</v>
      </c>
      <c r="P727" s="2">
        <v>6456.44</v>
      </c>
      <c r="Q727" t="s">
        <v>51</v>
      </c>
      <c r="R727" s="1">
        <v>45105</v>
      </c>
      <c r="S727" s="1"/>
    </row>
    <row r="728" spans="1:19" x14ac:dyDescent="0.3">
      <c r="A728">
        <v>20870</v>
      </c>
      <c r="B728" t="s">
        <v>35</v>
      </c>
      <c r="C728" t="s">
        <v>18</v>
      </c>
      <c r="D728">
        <v>10000</v>
      </c>
      <c r="E728" t="str">
        <f>IF(Sales_Data[[#This Row],[Income]]&lt;=20000,"Low Income",IF(Sales_Data[[#This Row],[Income]]&lt;=40000,"Lower Middle",IF(Sales_Data[[#This Row],[Income]]&lt;=60000,"Middle Income",IF(Sales_Data[[#This Row],[Income]]&lt;=80000,"Upper Middle","High Income"))))</f>
        <v>Low Income</v>
      </c>
      <c r="F728">
        <v>2</v>
      </c>
      <c r="G728" t="s">
        <v>45</v>
      </c>
      <c r="H728" t="s">
        <v>42</v>
      </c>
      <c r="I728" t="s">
        <v>21</v>
      </c>
      <c r="J728">
        <v>1</v>
      </c>
      <c r="K728" t="s">
        <v>22</v>
      </c>
      <c r="L728" t="s">
        <v>23</v>
      </c>
      <c r="M728">
        <v>38</v>
      </c>
      <c r="N728" t="s">
        <v>38</v>
      </c>
      <c r="O728" t="s">
        <v>47</v>
      </c>
      <c r="P728" s="2">
        <v>4287.91</v>
      </c>
      <c r="Q728" t="s">
        <v>58</v>
      </c>
      <c r="R728" s="1">
        <v>45119</v>
      </c>
      <c r="S728" s="1"/>
    </row>
    <row r="729" spans="1:19" x14ac:dyDescent="0.3">
      <c r="A729">
        <v>25940</v>
      </c>
      <c r="B729" t="s">
        <v>35</v>
      </c>
      <c r="C729" t="s">
        <v>17</v>
      </c>
      <c r="D729">
        <v>20000</v>
      </c>
      <c r="E729" t="str">
        <f>IF(Sales_Data[[#This Row],[Income]]&lt;=20000,"Low Income",IF(Sales_Data[[#This Row],[Income]]&lt;=40000,"Lower Middle",IF(Sales_Data[[#This Row],[Income]]&lt;=60000,"Middle Income",IF(Sales_Data[[#This Row],[Income]]&lt;=80000,"Upper Middle","High Income"))))</f>
        <v>Low Income</v>
      </c>
      <c r="F729">
        <v>2</v>
      </c>
      <c r="G729" t="s">
        <v>50</v>
      </c>
      <c r="H729" t="s">
        <v>28</v>
      </c>
      <c r="I729" t="s">
        <v>21</v>
      </c>
      <c r="J729">
        <v>2</v>
      </c>
      <c r="K729" t="s">
        <v>36</v>
      </c>
      <c r="L729" t="s">
        <v>37</v>
      </c>
      <c r="M729">
        <v>55</v>
      </c>
      <c r="N729" t="s">
        <v>24</v>
      </c>
      <c r="O729" t="s">
        <v>34</v>
      </c>
      <c r="P729" s="2">
        <v>7942</v>
      </c>
      <c r="Q729" t="s">
        <v>60</v>
      </c>
      <c r="R729" s="1">
        <v>45232</v>
      </c>
      <c r="S729" s="1"/>
    </row>
    <row r="730" spans="1:19" x14ac:dyDescent="0.3">
      <c r="A730">
        <v>16466</v>
      </c>
      <c r="B730" t="s">
        <v>35</v>
      </c>
      <c r="C730" t="s">
        <v>18</v>
      </c>
      <c r="D730">
        <v>20000</v>
      </c>
      <c r="E730" t="str">
        <f>IF(Sales_Data[[#This Row],[Income]]&lt;=20000,"Low Income",IF(Sales_Data[[#This Row],[Income]]&lt;=40000,"Lower Middle",IF(Sales_Data[[#This Row],[Income]]&lt;=60000,"Middle Income",IF(Sales_Data[[#This Row],[Income]]&lt;=80000,"Upper Middle","High Income"))))</f>
        <v>Low Income</v>
      </c>
      <c r="F730">
        <v>0</v>
      </c>
      <c r="G730" t="s">
        <v>50</v>
      </c>
      <c r="H730" t="s">
        <v>42</v>
      </c>
      <c r="I730" t="s">
        <v>32</v>
      </c>
      <c r="J730">
        <v>2</v>
      </c>
      <c r="K730" t="s">
        <v>22</v>
      </c>
      <c r="L730" t="s">
        <v>23</v>
      </c>
      <c r="M730">
        <v>32</v>
      </c>
      <c r="N730" t="s">
        <v>24</v>
      </c>
      <c r="O730" t="s">
        <v>49</v>
      </c>
      <c r="P730" s="2">
        <v>596.76</v>
      </c>
      <c r="Q730" t="s">
        <v>40</v>
      </c>
      <c r="R730" s="1">
        <v>45053</v>
      </c>
      <c r="S730" s="1"/>
    </row>
    <row r="731" spans="1:19" x14ac:dyDescent="0.3">
      <c r="A731">
        <v>19273</v>
      </c>
      <c r="B731" t="s">
        <v>17</v>
      </c>
      <c r="C731" t="s">
        <v>18</v>
      </c>
      <c r="D731">
        <v>20000</v>
      </c>
      <c r="E731" t="str">
        <f>IF(Sales_Data[[#This Row],[Income]]&lt;=20000,"Low Income",IF(Sales_Data[[#This Row],[Income]]&lt;=40000,"Lower Middle",IF(Sales_Data[[#This Row],[Income]]&lt;=60000,"Middle Income",IF(Sales_Data[[#This Row],[Income]]&lt;=80000,"Upper Middle","High Income"))))</f>
        <v>Low Income</v>
      </c>
      <c r="F731">
        <v>2</v>
      </c>
      <c r="G731" t="s">
        <v>27</v>
      </c>
      <c r="H731" t="s">
        <v>42</v>
      </c>
      <c r="I731" t="s">
        <v>21</v>
      </c>
      <c r="J731">
        <v>0</v>
      </c>
      <c r="K731" t="s">
        <v>22</v>
      </c>
      <c r="L731" t="s">
        <v>23</v>
      </c>
      <c r="M731">
        <v>63</v>
      </c>
      <c r="N731" t="s">
        <v>38</v>
      </c>
      <c r="O731" t="s">
        <v>47</v>
      </c>
      <c r="P731" s="2">
        <v>8807.56</v>
      </c>
      <c r="Q731" t="s">
        <v>56</v>
      </c>
      <c r="R731" s="1">
        <v>45190</v>
      </c>
      <c r="S731" s="1"/>
    </row>
    <row r="732" spans="1:19" x14ac:dyDescent="0.3">
      <c r="A732">
        <v>22400</v>
      </c>
      <c r="B732" t="s">
        <v>17</v>
      </c>
      <c r="C732" t="s">
        <v>17</v>
      </c>
      <c r="D732">
        <v>10000</v>
      </c>
      <c r="E732" t="str">
        <f>IF(Sales_Data[[#This Row],[Income]]&lt;=20000,"Low Income",IF(Sales_Data[[#This Row],[Income]]&lt;=40000,"Lower Middle",IF(Sales_Data[[#This Row],[Income]]&lt;=60000,"Middle Income",IF(Sales_Data[[#This Row],[Income]]&lt;=80000,"Upper Middle","High Income"))))</f>
        <v>Low Income</v>
      </c>
      <c r="F732">
        <v>0</v>
      </c>
      <c r="G732" t="s">
        <v>27</v>
      </c>
      <c r="H732" t="s">
        <v>42</v>
      </c>
      <c r="I732" t="s">
        <v>32</v>
      </c>
      <c r="J732">
        <v>1</v>
      </c>
      <c r="K732" t="s">
        <v>22</v>
      </c>
      <c r="L732" t="s">
        <v>37</v>
      </c>
      <c r="M732">
        <v>26</v>
      </c>
      <c r="N732" t="s">
        <v>38</v>
      </c>
      <c r="O732" t="s">
        <v>54</v>
      </c>
      <c r="P732" s="2">
        <v>6118.35</v>
      </c>
      <c r="Q732" t="s">
        <v>56</v>
      </c>
      <c r="R732" s="1">
        <v>45175</v>
      </c>
      <c r="S732" s="1"/>
    </row>
    <row r="733" spans="1:19" x14ac:dyDescent="0.3">
      <c r="A733">
        <v>20942</v>
      </c>
      <c r="B733" t="s">
        <v>35</v>
      </c>
      <c r="C733" t="s">
        <v>18</v>
      </c>
      <c r="D733">
        <v>20000</v>
      </c>
      <c r="E733" t="str">
        <f>IF(Sales_Data[[#This Row],[Income]]&lt;=20000,"Low Income",IF(Sales_Data[[#This Row],[Income]]&lt;=40000,"Lower Middle",IF(Sales_Data[[#This Row],[Income]]&lt;=60000,"Middle Income",IF(Sales_Data[[#This Row],[Income]]&lt;=80000,"Upper Middle","High Income"))))</f>
        <v>Low Income</v>
      </c>
      <c r="F733">
        <v>0</v>
      </c>
      <c r="G733" t="s">
        <v>45</v>
      </c>
      <c r="H733" t="s">
        <v>42</v>
      </c>
      <c r="I733" t="s">
        <v>32</v>
      </c>
      <c r="J733">
        <v>1</v>
      </c>
      <c r="K733" t="s">
        <v>36</v>
      </c>
      <c r="L733" t="s">
        <v>23</v>
      </c>
      <c r="M733">
        <v>31</v>
      </c>
      <c r="N733" t="s">
        <v>38</v>
      </c>
      <c r="O733" t="s">
        <v>62</v>
      </c>
      <c r="P733" s="2">
        <v>8661.15</v>
      </c>
      <c r="Q733" t="s">
        <v>58</v>
      </c>
      <c r="R733" s="1">
        <v>45128</v>
      </c>
      <c r="S733" s="1"/>
    </row>
    <row r="734" spans="1:19" x14ac:dyDescent="0.3">
      <c r="A734">
        <v>28380</v>
      </c>
      <c r="B734" t="s">
        <v>35</v>
      </c>
      <c r="C734" t="s">
        <v>18</v>
      </c>
      <c r="D734">
        <v>10000</v>
      </c>
      <c r="E734" t="str">
        <f>IF(Sales_Data[[#This Row],[Income]]&lt;=20000,"Low Income",IF(Sales_Data[[#This Row],[Income]]&lt;=40000,"Lower Middle",IF(Sales_Data[[#This Row],[Income]]&lt;=60000,"Middle Income",IF(Sales_Data[[#This Row],[Income]]&lt;=80000,"Upper Middle","High Income"))))</f>
        <v>Low Income</v>
      </c>
      <c r="F734">
        <v>5</v>
      </c>
      <c r="G734" t="s">
        <v>50</v>
      </c>
      <c r="H734" t="s">
        <v>42</v>
      </c>
      <c r="I734" t="s">
        <v>32</v>
      </c>
      <c r="J734">
        <v>2</v>
      </c>
      <c r="K734" t="s">
        <v>22</v>
      </c>
      <c r="L734" t="s">
        <v>23</v>
      </c>
      <c r="M734">
        <v>41</v>
      </c>
      <c r="N734" t="s">
        <v>24</v>
      </c>
      <c r="O734" t="s">
        <v>34</v>
      </c>
      <c r="P734" s="2">
        <v>9686.64</v>
      </c>
      <c r="Q734" t="s">
        <v>52</v>
      </c>
      <c r="R734" s="1">
        <v>44969</v>
      </c>
      <c r="S734" s="1"/>
    </row>
    <row r="735" spans="1:19" x14ac:dyDescent="0.3">
      <c r="A735">
        <v>17891</v>
      </c>
      <c r="B735" t="s">
        <v>17</v>
      </c>
      <c r="C735" t="s">
        <v>18</v>
      </c>
      <c r="D735">
        <v>10000</v>
      </c>
      <c r="E735" t="str">
        <f>IF(Sales_Data[[#This Row],[Income]]&lt;=20000,"Low Income",IF(Sales_Data[[#This Row],[Income]]&lt;=40000,"Lower Middle",IF(Sales_Data[[#This Row],[Income]]&lt;=60000,"Middle Income",IF(Sales_Data[[#This Row],[Income]]&lt;=80000,"Upper Middle","High Income"))))</f>
        <v>Low Income</v>
      </c>
      <c r="F735">
        <v>2</v>
      </c>
      <c r="G735" t="s">
        <v>27</v>
      </c>
      <c r="H735" t="s">
        <v>42</v>
      </c>
      <c r="I735" t="s">
        <v>21</v>
      </c>
      <c r="J735">
        <v>1</v>
      </c>
      <c r="K735" t="s">
        <v>22</v>
      </c>
      <c r="L735" t="s">
        <v>23</v>
      </c>
      <c r="M735">
        <v>50</v>
      </c>
      <c r="N735" t="s">
        <v>24</v>
      </c>
      <c r="O735" t="s">
        <v>25</v>
      </c>
      <c r="P735" s="2">
        <v>4175.95</v>
      </c>
      <c r="Q735" t="s">
        <v>48</v>
      </c>
      <c r="R735" s="1">
        <v>45158</v>
      </c>
      <c r="S735" s="1"/>
    </row>
    <row r="736" spans="1:19" x14ac:dyDescent="0.3">
      <c r="A736">
        <v>26863</v>
      </c>
      <c r="B736" t="s">
        <v>35</v>
      </c>
      <c r="C736" t="s">
        <v>17</v>
      </c>
      <c r="D736">
        <v>20000</v>
      </c>
      <c r="E736" t="str">
        <f>IF(Sales_Data[[#This Row],[Income]]&lt;=20000,"Low Income",IF(Sales_Data[[#This Row],[Income]]&lt;=40000,"Lower Middle",IF(Sales_Data[[#This Row],[Income]]&lt;=60000,"Middle Income",IF(Sales_Data[[#This Row],[Income]]&lt;=80000,"Upper Middle","High Income"))))</f>
        <v>Low Income</v>
      </c>
      <c r="F736">
        <v>0</v>
      </c>
      <c r="G736" t="s">
        <v>45</v>
      </c>
      <c r="H736" t="s">
        <v>42</v>
      </c>
      <c r="I736" t="s">
        <v>32</v>
      </c>
      <c r="J736">
        <v>1</v>
      </c>
      <c r="K736" t="s">
        <v>33</v>
      </c>
      <c r="L736" t="s">
        <v>23</v>
      </c>
      <c r="M736">
        <v>28</v>
      </c>
      <c r="N736" t="s">
        <v>38</v>
      </c>
      <c r="O736" t="s">
        <v>62</v>
      </c>
      <c r="P736" s="2">
        <v>5830.79</v>
      </c>
      <c r="Q736" t="s">
        <v>30</v>
      </c>
      <c r="R736" s="1">
        <v>45005</v>
      </c>
      <c r="S736" s="1"/>
    </row>
    <row r="737" spans="1:19" x14ac:dyDescent="0.3">
      <c r="A737">
        <v>16259</v>
      </c>
      <c r="B737" t="s">
        <v>35</v>
      </c>
      <c r="C737" t="s">
        <v>18</v>
      </c>
      <c r="D737">
        <v>10000</v>
      </c>
      <c r="E737" t="str">
        <f>IF(Sales_Data[[#This Row],[Income]]&lt;=20000,"Low Income",IF(Sales_Data[[#This Row],[Income]]&lt;=40000,"Lower Middle",IF(Sales_Data[[#This Row],[Income]]&lt;=60000,"Middle Income",IF(Sales_Data[[#This Row],[Income]]&lt;=80000,"Upper Middle","High Income"))))</f>
        <v>Low Income</v>
      </c>
      <c r="F737">
        <v>4</v>
      </c>
      <c r="G737" t="s">
        <v>50</v>
      </c>
      <c r="H737" t="s">
        <v>42</v>
      </c>
      <c r="I737" t="s">
        <v>21</v>
      </c>
      <c r="J737">
        <v>2</v>
      </c>
      <c r="K737" t="s">
        <v>22</v>
      </c>
      <c r="L737" t="s">
        <v>23</v>
      </c>
      <c r="M737">
        <v>40</v>
      </c>
      <c r="N737" t="s">
        <v>24</v>
      </c>
      <c r="O737" t="s">
        <v>55</v>
      </c>
      <c r="P737" s="2">
        <v>6182.23</v>
      </c>
      <c r="Q737" t="s">
        <v>57</v>
      </c>
      <c r="R737" s="1">
        <v>45211</v>
      </c>
      <c r="S737" s="1"/>
    </row>
    <row r="738" spans="1:19" x14ac:dyDescent="0.3">
      <c r="A738">
        <v>17703</v>
      </c>
      <c r="B738" t="s">
        <v>17</v>
      </c>
      <c r="C738" t="s">
        <v>18</v>
      </c>
      <c r="D738">
        <v>10000</v>
      </c>
      <c r="E738" t="str">
        <f>IF(Sales_Data[[#This Row],[Income]]&lt;=20000,"Low Income",IF(Sales_Data[[#This Row],[Income]]&lt;=40000,"Lower Middle",IF(Sales_Data[[#This Row],[Income]]&lt;=60000,"Middle Income",IF(Sales_Data[[#This Row],[Income]]&lt;=80000,"Upper Middle","High Income"))))</f>
        <v>Low Income</v>
      </c>
      <c r="F738">
        <v>1</v>
      </c>
      <c r="G738" t="s">
        <v>61</v>
      </c>
      <c r="H738" t="s">
        <v>42</v>
      </c>
      <c r="I738" t="s">
        <v>21</v>
      </c>
      <c r="J738">
        <v>0</v>
      </c>
      <c r="K738" t="s">
        <v>22</v>
      </c>
      <c r="L738" t="s">
        <v>23</v>
      </c>
      <c r="M738">
        <v>40</v>
      </c>
      <c r="N738" t="s">
        <v>24</v>
      </c>
      <c r="O738" t="s">
        <v>25</v>
      </c>
      <c r="P738" s="2">
        <v>4469.0600000000004</v>
      </c>
      <c r="Q738" t="s">
        <v>59</v>
      </c>
      <c r="R738" s="1">
        <v>45034</v>
      </c>
      <c r="S738" s="1"/>
    </row>
    <row r="739" spans="1:19" x14ac:dyDescent="0.3">
      <c r="A739">
        <v>29380</v>
      </c>
      <c r="B739" t="s">
        <v>17</v>
      </c>
      <c r="C739" t="s">
        <v>18</v>
      </c>
      <c r="D739">
        <v>20000</v>
      </c>
      <c r="E739" t="str">
        <f>IF(Sales_Data[[#This Row],[Income]]&lt;=20000,"Low Income",IF(Sales_Data[[#This Row],[Income]]&lt;=40000,"Lower Middle",IF(Sales_Data[[#This Row],[Income]]&lt;=60000,"Middle Income",IF(Sales_Data[[#This Row],[Income]]&lt;=80000,"Upper Middle","High Income"))))</f>
        <v>Low Income</v>
      </c>
      <c r="F739">
        <v>3</v>
      </c>
      <c r="G739" t="s">
        <v>45</v>
      </c>
      <c r="H739" t="s">
        <v>42</v>
      </c>
      <c r="I739" t="s">
        <v>21</v>
      </c>
      <c r="J739">
        <v>0</v>
      </c>
      <c r="K739" t="s">
        <v>22</v>
      </c>
      <c r="L739" t="s">
        <v>23</v>
      </c>
      <c r="M739">
        <v>41</v>
      </c>
      <c r="N739" t="s">
        <v>24</v>
      </c>
      <c r="O739" t="s">
        <v>34</v>
      </c>
      <c r="P739" s="2">
        <v>4350.18</v>
      </c>
      <c r="Q739" t="s">
        <v>58</v>
      </c>
      <c r="R739" s="1">
        <v>45120</v>
      </c>
      <c r="S739" s="1"/>
    </row>
    <row r="740" spans="1:19" x14ac:dyDescent="0.3">
      <c r="A740">
        <v>23986</v>
      </c>
      <c r="B740" t="s">
        <v>17</v>
      </c>
      <c r="C740" t="s">
        <v>18</v>
      </c>
      <c r="D740">
        <v>20000</v>
      </c>
      <c r="E740" t="str">
        <f>IF(Sales_Data[[#This Row],[Income]]&lt;=20000,"Low Income",IF(Sales_Data[[#This Row],[Income]]&lt;=40000,"Lower Middle",IF(Sales_Data[[#This Row],[Income]]&lt;=60000,"Middle Income",IF(Sales_Data[[#This Row],[Income]]&lt;=80000,"Upper Middle","High Income"))))</f>
        <v>Low Income</v>
      </c>
      <c r="F740">
        <v>1</v>
      </c>
      <c r="G740" t="s">
        <v>19</v>
      </c>
      <c r="H740" t="s">
        <v>28</v>
      </c>
      <c r="I740" t="s">
        <v>21</v>
      </c>
      <c r="J740">
        <v>0</v>
      </c>
      <c r="K740" t="s">
        <v>22</v>
      </c>
      <c r="L740" t="s">
        <v>23</v>
      </c>
      <c r="M740">
        <v>66</v>
      </c>
      <c r="N740" t="s">
        <v>24</v>
      </c>
      <c r="O740" t="s">
        <v>55</v>
      </c>
      <c r="P740" s="2">
        <v>7551.18</v>
      </c>
      <c r="Q740" t="s">
        <v>57</v>
      </c>
      <c r="R740" s="1">
        <v>45207</v>
      </c>
      <c r="S740" s="1"/>
    </row>
    <row r="741" spans="1:19" x14ac:dyDescent="0.3">
      <c r="A741">
        <v>12558</v>
      </c>
      <c r="B741" t="s">
        <v>17</v>
      </c>
      <c r="C741" t="s">
        <v>18</v>
      </c>
      <c r="D741">
        <v>20000</v>
      </c>
      <c r="E741" t="str">
        <f>IF(Sales_Data[[#This Row],[Income]]&lt;=20000,"Low Income",IF(Sales_Data[[#This Row],[Income]]&lt;=40000,"Lower Middle",IF(Sales_Data[[#This Row],[Income]]&lt;=60000,"Middle Income",IF(Sales_Data[[#This Row],[Income]]&lt;=80000,"Upper Middle","High Income"))))</f>
        <v>Low Income</v>
      </c>
      <c r="F741">
        <v>1</v>
      </c>
      <c r="G741" t="s">
        <v>19</v>
      </c>
      <c r="H741" t="s">
        <v>28</v>
      </c>
      <c r="I741" t="s">
        <v>21</v>
      </c>
      <c r="J741">
        <v>0</v>
      </c>
      <c r="K741" t="s">
        <v>22</v>
      </c>
      <c r="L741" t="s">
        <v>23</v>
      </c>
      <c r="M741">
        <v>65</v>
      </c>
      <c r="N741" t="s">
        <v>24</v>
      </c>
      <c r="O741" t="s">
        <v>25</v>
      </c>
      <c r="P741" s="2">
        <v>9755.11</v>
      </c>
      <c r="Q741" t="s">
        <v>58</v>
      </c>
      <c r="R741" s="1">
        <v>45134</v>
      </c>
      <c r="S741" s="1"/>
    </row>
    <row r="742" spans="1:19" x14ac:dyDescent="0.3">
      <c r="A742">
        <v>24185</v>
      </c>
      <c r="B742" t="s">
        <v>35</v>
      </c>
      <c r="C742" t="s">
        <v>18</v>
      </c>
      <c r="D742">
        <v>10000</v>
      </c>
      <c r="E742" t="str">
        <f>IF(Sales_Data[[#This Row],[Income]]&lt;=20000,"Low Income",IF(Sales_Data[[#This Row],[Income]]&lt;=40000,"Lower Middle",IF(Sales_Data[[#This Row],[Income]]&lt;=60000,"Middle Income",IF(Sales_Data[[#This Row],[Income]]&lt;=80000,"Upper Middle","High Income"))))</f>
        <v>Low Income</v>
      </c>
      <c r="F742">
        <v>1</v>
      </c>
      <c r="G742" t="s">
        <v>45</v>
      </c>
      <c r="H742" t="s">
        <v>42</v>
      </c>
      <c r="I742" t="s">
        <v>32</v>
      </c>
      <c r="J742">
        <v>1</v>
      </c>
      <c r="K742" t="s">
        <v>43</v>
      </c>
      <c r="L742" t="s">
        <v>23</v>
      </c>
      <c r="M742">
        <v>45</v>
      </c>
      <c r="N742" t="s">
        <v>38</v>
      </c>
      <c r="O742" t="s">
        <v>39</v>
      </c>
      <c r="P742" s="2">
        <v>5398.3</v>
      </c>
      <c r="Q742" t="s">
        <v>59</v>
      </c>
      <c r="R742" s="1">
        <v>45030</v>
      </c>
      <c r="S742" s="1"/>
    </row>
    <row r="743" spans="1:19" x14ac:dyDescent="0.3">
      <c r="A743">
        <v>19291</v>
      </c>
      <c r="B743" t="s">
        <v>35</v>
      </c>
      <c r="C743" t="s">
        <v>18</v>
      </c>
      <c r="D743">
        <v>10000</v>
      </c>
      <c r="E743" t="str">
        <f>IF(Sales_Data[[#This Row],[Income]]&lt;=20000,"Low Income",IF(Sales_Data[[#This Row],[Income]]&lt;=40000,"Lower Middle",IF(Sales_Data[[#This Row],[Income]]&lt;=60000,"Middle Income",IF(Sales_Data[[#This Row],[Income]]&lt;=80000,"Upper Middle","High Income"))))</f>
        <v>Low Income</v>
      </c>
      <c r="F743">
        <v>2</v>
      </c>
      <c r="G743" t="s">
        <v>45</v>
      </c>
      <c r="H743" t="s">
        <v>42</v>
      </c>
      <c r="I743" t="s">
        <v>21</v>
      </c>
      <c r="J743">
        <v>0</v>
      </c>
      <c r="K743" t="s">
        <v>22</v>
      </c>
      <c r="L743" t="s">
        <v>23</v>
      </c>
      <c r="M743">
        <v>35</v>
      </c>
      <c r="N743" t="s">
        <v>38</v>
      </c>
      <c r="O743" t="s">
        <v>62</v>
      </c>
      <c r="P743" s="2">
        <v>9949.5300000000007</v>
      </c>
      <c r="Q743" t="s">
        <v>44</v>
      </c>
      <c r="R743" s="1">
        <v>44945</v>
      </c>
      <c r="S743" s="1"/>
    </row>
    <row r="744" spans="1:19" x14ac:dyDescent="0.3">
      <c r="A744">
        <v>14813</v>
      </c>
      <c r="B744" t="s">
        <v>35</v>
      </c>
      <c r="C744" t="s">
        <v>18</v>
      </c>
      <c r="D744">
        <v>20000</v>
      </c>
      <c r="E744" t="str">
        <f>IF(Sales_Data[[#This Row],[Income]]&lt;=20000,"Low Income",IF(Sales_Data[[#This Row],[Income]]&lt;=40000,"Lower Middle",IF(Sales_Data[[#This Row],[Income]]&lt;=60000,"Middle Income",IF(Sales_Data[[#This Row],[Income]]&lt;=80000,"Upper Middle","High Income"))))</f>
        <v>Low Income</v>
      </c>
      <c r="F744">
        <v>4</v>
      </c>
      <c r="G744" t="s">
        <v>45</v>
      </c>
      <c r="H744" t="s">
        <v>42</v>
      </c>
      <c r="I744" t="s">
        <v>21</v>
      </c>
      <c r="J744">
        <v>1</v>
      </c>
      <c r="K744" t="s">
        <v>22</v>
      </c>
      <c r="L744" t="s">
        <v>23</v>
      </c>
      <c r="M744">
        <v>43</v>
      </c>
      <c r="N744" t="s">
        <v>38</v>
      </c>
      <c r="O744" t="s">
        <v>41</v>
      </c>
      <c r="P744" s="2">
        <v>3410.22</v>
      </c>
      <c r="Q744" t="s">
        <v>51</v>
      </c>
      <c r="R744" s="1">
        <v>45092</v>
      </c>
      <c r="S744" s="1"/>
    </row>
    <row r="745" spans="1:19" x14ac:dyDescent="0.3">
      <c r="A745">
        <v>16438</v>
      </c>
      <c r="B745" t="s">
        <v>17</v>
      </c>
      <c r="C745" t="s">
        <v>18</v>
      </c>
      <c r="D745">
        <v>10000</v>
      </c>
      <c r="E745" t="str">
        <f>IF(Sales_Data[[#This Row],[Income]]&lt;=20000,"Low Income",IF(Sales_Data[[#This Row],[Income]]&lt;=40000,"Lower Middle",IF(Sales_Data[[#This Row],[Income]]&lt;=60000,"Middle Income",IF(Sales_Data[[#This Row],[Income]]&lt;=80000,"Upper Middle","High Income"))))</f>
        <v>Low Income</v>
      </c>
      <c r="F745">
        <v>0</v>
      </c>
      <c r="G745" t="s">
        <v>50</v>
      </c>
      <c r="H745" t="s">
        <v>42</v>
      </c>
      <c r="I745" t="s">
        <v>32</v>
      </c>
      <c r="J745">
        <v>2</v>
      </c>
      <c r="K745" t="s">
        <v>22</v>
      </c>
      <c r="L745" t="s">
        <v>23</v>
      </c>
      <c r="M745">
        <v>30</v>
      </c>
      <c r="N745" t="s">
        <v>24</v>
      </c>
      <c r="O745" t="s">
        <v>34</v>
      </c>
      <c r="P745" s="2">
        <v>1160.17</v>
      </c>
      <c r="Q745" t="s">
        <v>58</v>
      </c>
      <c r="R745" s="1">
        <v>45121</v>
      </c>
      <c r="S745" s="1"/>
    </row>
    <row r="746" spans="1:19" x14ac:dyDescent="0.3">
      <c r="A746">
        <v>16200</v>
      </c>
      <c r="B746" t="s">
        <v>35</v>
      </c>
      <c r="C746" t="s">
        <v>18</v>
      </c>
      <c r="D746">
        <v>10000</v>
      </c>
      <c r="E746" t="str">
        <f>IF(Sales_Data[[#This Row],[Income]]&lt;=20000,"Low Income",IF(Sales_Data[[#This Row],[Income]]&lt;=40000,"Lower Middle",IF(Sales_Data[[#This Row],[Income]]&lt;=60000,"Middle Income",IF(Sales_Data[[#This Row],[Income]]&lt;=80000,"Upper Middle","High Income"))))</f>
        <v>Low Income</v>
      </c>
      <c r="F746">
        <v>0</v>
      </c>
      <c r="G746" t="s">
        <v>50</v>
      </c>
      <c r="H746" t="s">
        <v>42</v>
      </c>
      <c r="I746" t="s">
        <v>32</v>
      </c>
      <c r="J746">
        <v>2</v>
      </c>
      <c r="K746" t="s">
        <v>22</v>
      </c>
      <c r="L746" t="s">
        <v>23</v>
      </c>
      <c r="M746">
        <v>35</v>
      </c>
      <c r="N746" t="s">
        <v>38</v>
      </c>
      <c r="O746" t="s">
        <v>39</v>
      </c>
      <c r="P746" s="2">
        <v>4226.16</v>
      </c>
      <c r="Q746" t="s">
        <v>58</v>
      </c>
      <c r="R746" s="1">
        <v>45112</v>
      </c>
      <c r="S746" s="1"/>
    </row>
    <row r="747" spans="1:19" x14ac:dyDescent="0.3">
      <c r="A747">
        <v>26956</v>
      </c>
      <c r="B747" t="s">
        <v>35</v>
      </c>
      <c r="C747" t="s">
        <v>18</v>
      </c>
      <c r="D747">
        <v>20000</v>
      </c>
      <c r="E747" t="str">
        <f>IF(Sales_Data[[#This Row],[Income]]&lt;=20000,"Low Income",IF(Sales_Data[[#This Row],[Income]]&lt;=40000,"Lower Middle",IF(Sales_Data[[#This Row],[Income]]&lt;=60000,"Middle Income",IF(Sales_Data[[#This Row],[Income]]&lt;=80000,"Upper Middle","High Income"))))</f>
        <v>Low Income</v>
      </c>
      <c r="F747">
        <v>0</v>
      </c>
      <c r="G747" t="s">
        <v>27</v>
      </c>
      <c r="H747" t="s">
        <v>42</v>
      </c>
      <c r="I747" t="s">
        <v>32</v>
      </c>
      <c r="J747">
        <v>1</v>
      </c>
      <c r="K747" t="s">
        <v>33</v>
      </c>
      <c r="L747" t="s">
        <v>23</v>
      </c>
      <c r="M747">
        <v>36</v>
      </c>
      <c r="N747" t="s">
        <v>24</v>
      </c>
      <c r="O747" t="s">
        <v>29</v>
      </c>
      <c r="P747" s="2">
        <v>9774.9599999999991</v>
      </c>
      <c r="Q747" t="s">
        <v>26</v>
      </c>
      <c r="R747" s="1">
        <v>45275</v>
      </c>
      <c r="S747" s="1"/>
    </row>
    <row r="748" spans="1:19" x14ac:dyDescent="0.3">
      <c r="A748">
        <v>14517</v>
      </c>
      <c r="B748" t="s">
        <v>17</v>
      </c>
      <c r="C748" t="s">
        <v>18</v>
      </c>
      <c r="D748">
        <v>20000</v>
      </c>
      <c r="E748" t="str">
        <f>IF(Sales_Data[[#This Row],[Income]]&lt;=20000,"Low Income",IF(Sales_Data[[#This Row],[Income]]&lt;=40000,"Lower Middle",IF(Sales_Data[[#This Row],[Income]]&lt;=60000,"Middle Income",IF(Sales_Data[[#This Row],[Income]]&lt;=80000,"Upper Middle","High Income"))))</f>
        <v>Low Income</v>
      </c>
      <c r="F748">
        <v>3</v>
      </c>
      <c r="G748" t="s">
        <v>45</v>
      </c>
      <c r="H748" t="s">
        <v>20</v>
      </c>
      <c r="I748" t="s">
        <v>32</v>
      </c>
      <c r="J748">
        <v>2</v>
      </c>
      <c r="K748" t="s">
        <v>43</v>
      </c>
      <c r="L748" t="s">
        <v>37</v>
      </c>
      <c r="M748">
        <v>62</v>
      </c>
      <c r="N748" t="s">
        <v>24</v>
      </c>
      <c r="O748" t="s">
        <v>29</v>
      </c>
      <c r="P748" s="2">
        <v>5122.37</v>
      </c>
      <c r="Q748" t="s">
        <v>57</v>
      </c>
      <c r="R748" s="1">
        <v>45202</v>
      </c>
      <c r="S748" s="1"/>
    </row>
    <row r="749" spans="1:19" x14ac:dyDescent="0.3">
      <c r="A749">
        <v>16188</v>
      </c>
      <c r="B749" t="s">
        <v>35</v>
      </c>
      <c r="C749" t="s">
        <v>18</v>
      </c>
      <c r="D749">
        <v>20000</v>
      </c>
      <c r="E749" t="str">
        <f>IF(Sales_Data[[#This Row],[Income]]&lt;=20000,"Low Income",IF(Sales_Data[[#This Row],[Income]]&lt;=40000,"Lower Middle",IF(Sales_Data[[#This Row],[Income]]&lt;=60000,"Middle Income",IF(Sales_Data[[#This Row],[Income]]&lt;=80000,"Upper Middle","High Income"))))</f>
        <v>Low Income</v>
      </c>
      <c r="F749">
        <v>0</v>
      </c>
      <c r="G749" t="s">
        <v>50</v>
      </c>
      <c r="H749" t="s">
        <v>42</v>
      </c>
      <c r="I749" t="s">
        <v>32</v>
      </c>
      <c r="J749">
        <v>2</v>
      </c>
      <c r="K749" t="s">
        <v>43</v>
      </c>
      <c r="L749" t="s">
        <v>23</v>
      </c>
      <c r="M749">
        <v>26</v>
      </c>
      <c r="N749" t="s">
        <v>38</v>
      </c>
      <c r="O749" t="s">
        <v>39</v>
      </c>
      <c r="P749" s="2">
        <v>143.41999999999999</v>
      </c>
      <c r="Q749" t="s">
        <v>57</v>
      </c>
      <c r="R749" s="1">
        <v>45206</v>
      </c>
      <c r="S749" s="1"/>
    </row>
    <row r="750" spans="1:19" x14ac:dyDescent="0.3">
      <c r="A750">
        <v>19461</v>
      </c>
      <c r="B750" t="s">
        <v>35</v>
      </c>
      <c r="C750" t="s">
        <v>18</v>
      </c>
      <c r="D750">
        <v>10000</v>
      </c>
      <c r="E750" t="str">
        <f>IF(Sales_Data[[#This Row],[Income]]&lt;=20000,"Low Income",IF(Sales_Data[[#This Row],[Income]]&lt;=40000,"Lower Middle",IF(Sales_Data[[#This Row],[Income]]&lt;=60000,"Middle Income",IF(Sales_Data[[#This Row],[Income]]&lt;=80000,"Upper Middle","High Income"))))</f>
        <v>Low Income</v>
      </c>
      <c r="F750">
        <v>4</v>
      </c>
      <c r="G750" t="s">
        <v>50</v>
      </c>
      <c r="H750" t="s">
        <v>42</v>
      </c>
      <c r="I750" t="s">
        <v>21</v>
      </c>
      <c r="J750">
        <v>2</v>
      </c>
      <c r="K750" t="s">
        <v>22</v>
      </c>
      <c r="L750" t="s">
        <v>23</v>
      </c>
      <c r="M750">
        <v>40</v>
      </c>
      <c r="N750" t="s">
        <v>24</v>
      </c>
      <c r="O750" t="s">
        <v>34</v>
      </c>
      <c r="P750" s="2">
        <v>7993.98</v>
      </c>
      <c r="Q750" t="s">
        <v>26</v>
      </c>
      <c r="R750" s="1">
        <v>45269</v>
      </c>
      <c r="S750" s="1"/>
    </row>
    <row r="751" spans="1:19" x14ac:dyDescent="0.3">
      <c r="A751">
        <v>28412</v>
      </c>
      <c r="B751" t="s">
        <v>35</v>
      </c>
      <c r="C751" t="s">
        <v>17</v>
      </c>
      <c r="D751">
        <v>20000</v>
      </c>
      <c r="E751" t="str">
        <f>IF(Sales_Data[[#This Row],[Income]]&lt;=20000,"Low Income",IF(Sales_Data[[#This Row],[Income]]&lt;=40000,"Lower Middle",IF(Sales_Data[[#This Row],[Income]]&lt;=60000,"Middle Income",IF(Sales_Data[[#This Row],[Income]]&lt;=80000,"Upper Middle","High Income"))))</f>
        <v>Low Income</v>
      </c>
      <c r="F751">
        <v>0</v>
      </c>
      <c r="G751" t="s">
        <v>45</v>
      </c>
      <c r="H751" t="s">
        <v>42</v>
      </c>
      <c r="I751" t="s">
        <v>32</v>
      </c>
      <c r="J751">
        <v>1</v>
      </c>
      <c r="K751" t="s">
        <v>33</v>
      </c>
      <c r="L751" t="s">
        <v>23</v>
      </c>
      <c r="M751">
        <v>29</v>
      </c>
      <c r="N751" t="s">
        <v>24</v>
      </c>
      <c r="O751" t="s">
        <v>34</v>
      </c>
      <c r="P751" s="2">
        <v>9611.92</v>
      </c>
      <c r="Q751" t="s">
        <v>57</v>
      </c>
      <c r="R751" s="1">
        <v>45223</v>
      </c>
      <c r="S751" s="1"/>
    </row>
    <row r="752" spans="1:19" x14ac:dyDescent="0.3">
      <c r="A752">
        <v>16514</v>
      </c>
      <c r="B752" t="s">
        <v>35</v>
      </c>
      <c r="C752" t="s">
        <v>17</v>
      </c>
      <c r="D752">
        <v>10000</v>
      </c>
      <c r="E752" t="str">
        <f>IF(Sales_Data[[#This Row],[Income]]&lt;=20000,"Low Income",IF(Sales_Data[[#This Row],[Income]]&lt;=40000,"Lower Middle",IF(Sales_Data[[#This Row],[Income]]&lt;=60000,"Middle Income",IF(Sales_Data[[#This Row],[Income]]&lt;=80000,"Upper Middle","High Income"))))</f>
        <v>Low Income</v>
      </c>
      <c r="F752">
        <v>0</v>
      </c>
      <c r="G752" t="s">
        <v>27</v>
      </c>
      <c r="H752" t="s">
        <v>42</v>
      </c>
      <c r="I752" t="s">
        <v>21</v>
      </c>
      <c r="J752">
        <v>1</v>
      </c>
      <c r="K752" t="s">
        <v>43</v>
      </c>
      <c r="L752" t="s">
        <v>37</v>
      </c>
      <c r="M752">
        <v>26</v>
      </c>
      <c r="N752" t="s">
        <v>38</v>
      </c>
      <c r="O752" t="s">
        <v>41</v>
      </c>
      <c r="P752" s="2">
        <v>1230.5</v>
      </c>
      <c r="Q752" t="s">
        <v>26</v>
      </c>
      <c r="R752" s="1">
        <v>45276</v>
      </c>
      <c r="S752" s="1"/>
    </row>
    <row r="753" spans="1:19" x14ac:dyDescent="0.3">
      <c r="A753">
        <v>25458</v>
      </c>
      <c r="B753" t="s">
        <v>17</v>
      </c>
      <c r="C753" t="s">
        <v>17</v>
      </c>
      <c r="D753">
        <v>20000</v>
      </c>
      <c r="E753" t="str">
        <f>IF(Sales_Data[[#This Row],[Income]]&lt;=20000,"Low Income",IF(Sales_Data[[#This Row],[Income]]&lt;=40000,"Lower Middle",IF(Sales_Data[[#This Row],[Income]]&lt;=60000,"Middle Income",IF(Sales_Data[[#This Row],[Income]]&lt;=80000,"Upper Middle","High Income"))))</f>
        <v>Low Income</v>
      </c>
      <c r="F753">
        <v>1</v>
      </c>
      <c r="G753" t="s">
        <v>45</v>
      </c>
      <c r="H753" t="s">
        <v>42</v>
      </c>
      <c r="I753" t="s">
        <v>32</v>
      </c>
      <c r="J753">
        <v>1</v>
      </c>
      <c r="K753" t="s">
        <v>43</v>
      </c>
      <c r="L753" t="s">
        <v>23</v>
      </c>
      <c r="M753">
        <v>40</v>
      </c>
      <c r="N753" t="s">
        <v>38</v>
      </c>
      <c r="O753" t="s">
        <v>62</v>
      </c>
      <c r="P753" s="2">
        <v>6740.4</v>
      </c>
      <c r="Q753" t="s">
        <v>58</v>
      </c>
      <c r="R753" s="1">
        <v>45109</v>
      </c>
      <c r="S753" s="1"/>
    </row>
    <row r="754" spans="1:19" x14ac:dyDescent="0.3">
      <c r="A754">
        <v>26852</v>
      </c>
      <c r="B754" t="s">
        <v>17</v>
      </c>
      <c r="C754" t="s">
        <v>18</v>
      </c>
      <c r="D754">
        <v>20000</v>
      </c>
      <c r="E754" t="str">
        <f>IF(Sales_Data[[#This Row],[Income]]&lt;=20000,"Low Income",IF(Sales_Data[[#This Row],[Income]]&lt;=40000,"Lower Middle",IF(Sales_Data[[#This Row],[Income]]&lt;=60000,"Middle Income",IF(Sales_Data[[#This Row],[Income]]&lt;=80000,"Upper Middle","High Income"))))</f>
        <v>Low Income</v>
      </c>
      <c r="F754">
        <v>3</v>
      </c>
      <c r="G754" t="s">
        <v>45</v>
      </c>
      <c r="H754" t="s">
        <v>42</v>
      </c>
      <c r="I754" t="s">
        <v>21</v>
      </c>
      <c r="J754">
        <v>2</v>
      </c>
      <c r="K754" t="s">
        <v>22</v>
      </c>
      <c r="L754" t="s">
        <v>23</v>
      </c>
      <c r="M754">
        <v>43</v>
      </c>
      <c r="N754" t="s">
        <v>38</v>
      </c>
      <c r="O754" t="s">
        <v>47</v>
      </c>
      <c r="P754" s="2">
        <v>4900.72</v>
      </c>
      <c r="Q754" t="s">
        <v>51</v>
      </c>
      <c r="R754" s="1">
        <v>45079</v>
      </c>
      <c r="S754" s="1"/>
    </row>
    <row r="755" spans="1:19" x14ac:dyDescent="0.3">
      <c r="A755">
        <v>12274</v>
      </c>
      <c r="B755" t="s">
        <v>35</v>
      </c>
      <c r="C755" t="s">
        <v>17</v>
      </c>
      <c r="D755">
        <v>10000</v>
      </c>
      <c r="E755" t="str">
        <f>IF(Sales_Data[[#This Row],[Income]]&lt;=20000,"Low Income",IF(Sales_Data[[#This Row],[Income]]&lt;=40000,"Lower Middle",IF(Sales_Data[[#This Row],[Income]]&lt;=60000,"Middle Income",IF(Sales_Data[[#This Row],[Income]]&lt;=80000,"Upper Middle","High Income"))))</f>
        <v>Low Income</v>
      </c>
      <c r="F755">
        <v>2</v>
      </c>
      <c r="G755" t="s">
        <v>45</v>
      </c>
      <c r="H755" t="s">
        <v>42</v>
      </c>
      <c r="I755" t="s">
        <v>21</v>
      </c>
      <c r="J755">
        <v>0</v>
      </c>
      <c r="K755" t="s">
        <v>22</v>
      </c>
      <c r="L755" t="s">
        <v>23</v>
      </c>
      <c r="M755">
        <v>35</v>
      </c>
      <c r="N755" t="s">
        <v>24</v>
      </c>
      <c r="O755" t="s">
        <v>25</v>
      </c>
      <c r="P755" s="2">
        <v>2188.94</v>
      </c>
      <c r="Q755" t="s">
        <v>40</v>
      </c>
      <c r="R755" s="1">
        <v>45054</v>
      </c>
      <c r="S755" s="1"/>
    </row>
    <row r="756" spans="1:19" x14ac:dyDescent="0.3">
      <c r="A756">
        <v>24149</v>
      </c>
      <c r="B756" t="s">
        <v>17</v>
      </c>
      <c r="C756" t="s">
        <v>17</v>
      </c>
      <c r="D756">
        <v>10000</v>
      </c>
      <c r="E756" t="str">
        <f>IF(Sales_Data[[#This Row],[Income]]&lt;=20000,"Low Income",IF(Sales_Data[[#This Row],[Income]]&lt;=40000,"Lower Middle",IF(Sales_Data[[#This Row],[Income]]&lt;=60000,"Middle Income",IF(Sales_Data[[#This Row],[Income]]&lt;=80000,"Upper Middle","High Income"))))</f>
        <v>Low Income</v>
      </c>
      <c r="F756">
        <v>2</v>
      </c>
      <c r="G756" t="s">
        <v>27</v>
      </c>
      <c r="H756" t="s">
        <v>42</v>
      </c>
      <c r="I756" t="s">
        <v>21</v>
      </c>
      <c r="J756">
        <v>0</v>
      </c>
      <c r="K756" t="s">
        <v>43</v>
      </c>
      <c r="L756" t="s">
        <v>23</v>
      </c>
      <c r="M756">
        <v>49</v>
      </c>
      <c r="N756" t="s">
        <v>38</v>
      </c>
      <c r="O756" t="s">
        <v>41</v>
      </c>
      <c r="P756" s="2">
        <v>6705.85</v>
      </c>
      <c r="Q756" t="s">
        <v>57</v>
      </c>
      <c r="R756" s="1">
        <v>45223</v>
      </c>
      <c r="S756" s="1"/>
    </row>
    <row r="757" spans="1:19" x14ac:dyDescent="0.3">
      <c r="A757">
        <v>15030</v>
      </c>
      <c r="B757" t="s">
        <v>17</v>
      </c>
      <c r="C757" t="s">
        <v>17</v>
      </c>
      <c r="D757">
        <v>20000</v>
      </c>
      <c r="E757" t="str">
        <f>IF(Sales_Data[[#This Row],[Income]]&lt;=20000,"Low Income",IF(Sales_Data[[#This Row],[Income]]&lt;=40000,"Lower Middle",IF(Sales_Data[[#This Row],[Income]]&lt;=60000,"Middle Income",IF(Sales_Data[[#This Row],[Income]]&lt;=80000,"Upper Middle","High Income"))))</f>
        <v>Low Income</v>
      </c>
      <c r="F757">
        <v>0</v>
      </c>
      <c r="G757" t="s">
        <v>19</v>
      </c>
      <c r="H757" t="s">
        <v>28</v>
      </c>
      <c r="I757" t="s">
        <v>21</v>
      </c>
      <c r="J757">
        <v>0</v>
      </c>
      <c r="K757" t="s">
        <v>22</v>
      </c>
      <c r="L757" t="s">
        <v>37</v>
      </c>
      <c r="M757">
        <v>26</v>
      </c>
      <c r="N757" t="s">
        <v>24</v>
      </c>
      <c r="O757" t="s">
        <v>25</v>
      </c>
      <c r="P757" s="2">
        <v>5626.15</v>
      </c>
      <c r="Q757" t="s">
        <v>26</v>
      </c>
      <c r="R757" s="1">
        <v>45286</v>
      </c>
      <c r="S757" s="1"/>
    </row>
    <row r="758" spans="1:19" x14ac:dyDescent="0.3">
      <c r="A758">
        <v>24140</v>
      </c>
      <c r="B758" t="s">
        <v>35</v>
      </c>
      <c r="C758" t="s">
        <v>17</v>
      </c>
      <c r="D758">
        <v>10000</v>
      </c>
      <c r="E758" t="str">
        <f>IF(Sales_Data[[#This Row],[Income]]&lt;=20000,"Low Income",IF(Sales_Data[[#This Row],[Income]]&lt;=40000,"Lower Middle",IF(Sales_Data[[#This Row],[Income]]&lt;=60000,"Middle Income",IF(Sales_Data[[#This Row],[Income]]&lt;=80000,"Upper Middle","High Income"))))</f>
        <v>Low Income</v>
      </c>
      <c r="F758">
        <v>0</v>
      </c>
      <c r="G758" t="s">
        <v>61</v>
      </c>
      <c r="H758" t="s">
        <v>42</v>
      </c>
      <c r="I758" t="s">
        <v>32</v>
      </c>
      <c r="J758">
        <v>0</v>
      </c>
      <c r="K758" t="s">
        <v>22</v>
      </c>
      <c r="L758" t="s">
        <v>23</v>
      </c>
      <c r="M758">
        <v>30</v>
      </c>
      <c r="N758" t="s">
        <v>24</v>
      </c>
      <c r="O758" t="s">
        <v>29</v>
      </c>
      <c r="P758" s="2">
        <v>962.47</v>
      </c>
      <c r="Q758" t="s">
        <v>57</v>
      </c>
      <c r="R758" s="1">
        <v>45205</v>
      </c>
      <c r="S758" s="1"/>
    </row>
    <row r="759" spans="1:19" x14ac:dyDescent="0.3">
      <c r="A759">
        <v>24065</v>
      </c>
      <c r="B759" t="s">
        <v>35</v>
      </c>
      <c r="C759" t="s">
        <v>18</v>
      </c>
      <c r="D759">
        <v>20000</v>
      </c>
      <c r="E759" t="str">
        <f>IF(Sales_Data[[#This Row],[Income]]&lt;=20000,"Low Income",IF(Sales_Data[[#This Row],[Income]]&lt;=40000,"Lower Middle",IF(Sales_Data[[#This Row],[Income]]&lt;=60000,"Middle Income",IF(Sales_Data[[#This Row],[Income]]&lt;=80000,"Upper Middle","High Income"))))</f>
        <v>Low Income</v>
      </c>
      <c r="F759">
        <v>0</v>
      </c>
      <c r="G759" t="s">
        <v>45</v>
      </c>
      <c r="H759" t="s">
        <v>42</v>
      </c>
      <c r="I759" t="s">
        <v>21</v>
      </c>
      <c r="J759">
        <v>0</v>
      </c>
      <c r="K759" t="s">
        <v>22</v>
      </c>
      <c r="L759" t="s">
        <v>23</v>
      </c>
      <c r="M759">
        <v>40</v>
      </c>
      <c r="N759" t="s">
        <v>24</v>
      </c>
      <c r="O759" t="s">
        <v>55</v>
      </c>
      <c r="P759" s="2">
        <v>5260.68</v>
      </c>
      <c r="Q759" t="s">
        <v>60</v>
      </c>
      <c r="R759" s="1">
        <v>45248</v>
      </c>
      <c r="S759" s="1"/>
    </row>
    <row r="760" spans="1:19" x14ac:dyDescent="0.3">
      <c r="A760">
        <v>20970</v>
      </c>
      <c r="B760" t="s">
        <v>35</v>
      </c>
      <c r="C760" t="s">
        <v>17</v>
      </c>
      <c r="D760">
        <v>10000</v>
      </c>
      <c r="E760" t="str">
        <f>IF(Sales_Data[[#This Row],[Income]]&lt;=20000,"Low Income",IF(Sales_Data[[#This Row],[Income]]&lt;=40000,"Lower Middle",IF(Sales_Data[[#This Row],[Income]]&lt;=60000,"Middle Income",IF(Sales_Data[[#This Row],[Income]]&lt;=80000,"Upper Middle","High Income"))))</f>
        <v>Low Income</v>
      </c>
      <c r="F760">
        <v>2</v>
      </c>
      <c r="G760" t="s">
        <v>27</v>
      </c>
      <c r="H760" t="s">
        <v>42</v>
      </c>
      <c r="I760" t="s">
        <v>21</v>
      </c>
      <c r="J760">
        <v>1</v>
      </c>
      <c r="K760" t="s">
        <v>22</v>
      </c>
      <c r="L760" t="s">
        <v>23</v>
      </c>
      <c r="M760">
        <v>52</v>
      </c>
      <c r="N760" t="s">
        <v>38</v>
      </c>
      <c r="O760" t="s">
        <v>39</v>
      </c>
      <c r="P760" s="2">
        <v>682.25</v>
      </c>
      <c r="Q760" t="s">
        <v>56</v>
      </c>
      <c r="R760" s="1">
        <v>45194</v>
      </c>
      <c r="S760" s="1"/>
    </row>
    <row r="761" spans="1:19" x14ac:dyDescent="0.3">
      <c r="A761">
        <v>26818</v>
      </c>
      <c r="B761" t="s">
        <v>35</v>
      </c>
      <c r="C761" t="s">
        <v>17</v>
      </c>
      <c r="D761">
        <v>10000</v>
      </c>
      <c r="E761" t="str">
        <f>IF(Sales_Data[[#This Row],[Income]]&lt;=20000,"Low Income",IF(Sales_Data[[#This Row],[Income]]&lt;=40000,"Lower Middle",IF(Sales_Data[[#This Row],[Income]]&lt;=60000,"Middle Income",IF(Sales_Data[[#This Row],[Income]]&lt;=80000,"Upper Middle","High Income"))))</f>
        <v>Low Income</v>
      </c>
      <c r="F761">
        <v>3</v>
      </c>
      <c r="G761" t="s">
        <v>45</v>
      </c>
      <c r="H761" t="s">
        <v>42</v>
      </c>
      <c r="I761" t="s">
        <v>21</v>
      </c>
      <c r="J761">
        <v>1</v>
      </c>
      <c r="K761" t="s">
        <v>22</v>
      </c>
      <c r="L761" t="s">
        <v>23</v>
      </c>
      <c r="M761">
        <v>39</v>
      </c>
      <c r="N761" t="s">
        <v>38</v>
      </c>
      <c r="O761" t="s">
        <v>39</v>
      </c>
      <c r="P761" s="2">
        <v>4935.8900000000003</v>
      </c>
      <c r="Q761" t="s">
        <v>58</v>
      </c>
      <c r="R761" s="1">
        <v>45121</v>
      </c>
      <c r="S761" s="1"/>
    </row>
    <row r="762" spans="1:19" x14ac:dyDescent="0.3">
      <c r="A762">
        <v>12234</v>
      </c>
      <c r="B762" t="s">
        <v>17</v>
      </c>
      <c r="C762" t="s">
        <v>17</v>
      </c>
      <c r="D762">
        <v>10000</v>
      </c>
      <c r="E762" t="str">
        <f>IF(Sales_Data[[#This Row],[Income]]&lt;=20000,"Low Income",IF(Sales_Data[[#This Row],[Income]]&lt;=40000,"Lower Middle",IF(Sales_Data[[#This Row],[Income]]&lt;=60000,"Middle Income",IF(Sales_Data[[#This Row],[Income]]&lt;=80000,"Upper Middle","High Income"))))</f>
        <v>Low Income</v>
      </c>
      <c r="F762">
        <v>2</v>
      </c>
      <c r="G762" t="s">
        <v>27</v>
      </c>
      <c r="H762" t="s">
        <v>42</v>
      </c>
      <c r="I762" t="s">
        <v>21</v>
      </c>
      <c r="J762">
        <v>1</v>
      </c>
      <c r="K762" t="s">
        <v>33</v>
      </c>
      <c r="L762" t="s">
        <v>23</v>
      </c>
      <c r="M762">
        <v>52</v>
      </c>
      <c r="N762" t="s">
        <v>24</v>
      </c>
      <c r="O762" t="s">
        <v>55</v>
      </c>
      <c r="P762" s="2">
        <v>6883.28</v>
      </c>
      <c r="Q762" t="s">
        <v>56</v>
      </c>
      <c r="R762" s="1">
        <v>45180</v>
      </c>
      <c r="S762" s="1"/>
    </row>
    <row r="763" spans="1:19" x14ac:dyDescent="0.3">
      <c r="A763">
        <v>28683</v>
      </c>
      <c r="B763" t="s">
        <v>35</v>
      </c>
      <c r="C763" t="s">
        <v>18</v>
      </c>
      <c r="D763">
        <v>10000</v>
      </c>
      <c r="E763" t="str">
        <f>IF(Sales_Data[[#This Row],[Income]]&lt;=20000,"Low Income",IF(Sales_Data[[#This Row],[Income]]&lt;=40000,"Lower Middle",IF(Sales_Data[[#This Row],[Income]]&lt;=60000,"Middle Income",IF(Sales_Data[[#This Row],[Income]]&lt;=80000,"Upper Middle","High Income"))))</f>
        <v>Low Income</v>
      </c>
      <c r="F763">
        <v>1</v>
      </c>
      <c r="G763" t="s">
        <v>45</v>
      </c>
      <c r="H763" t="s">
        <v>42</v>
      </c>
      <c r="I763" t="s">
        <v>32</v>
      </c>
      <c r="J763">
        <v>1</v>
      </c>
      <c r="K763" t="s">
        <v>36</v>
      </c>
      <c r="L763" t="s">
        <v>23</v>
      </c>
      <c r="M763">
        <v>35</v>
      </c>
      <c r="N763" t="s">
        <v>38</v>
      </c>
      <c r="O763" t="s">
        <v>47</v>
      </c>
      <c r="P763" s="2">
        <v>6085.62</v>
      </c>
      <c r="Q763" t="s">
        <v>51</v>
      </c>
      <c r="R763" s="1">
        <v>45090</v>
      </c>
      <c r="S763" s="1"/>
    </row>
    <row r="764" spans="1:19" x14ac:dyDescent="0.3">
      <c r="A764">
        <v>17994</v>
      </c>
      <c r="B764" t="s">
        <v>35</v>
      </c>
      <c r="C764" t="s">
        <v>17</v>
      </c>
      <c r="D764">
        <v>20000</v>
      </c>
      <c r="E764" t="str">
        <f>IF(Sales_Data[[#This Row],[Income]]&lt;=20000,"Low Income",IF(Sales_Data[[#This Row],[Income]]&lt;=40000,"Lower Middle",IF(Sales_Data[[#This Row],[Income]]&lt;=60000,"Middle Income",IF(Sales_Data[[#This Row],[Income]]&lt;=80000,"Upper Middle","High Income"))))</f>
        <v>Low Income</v>
      </c>
      <c r="F764">
        <v>2</v>
      </c>
      <c r="G764" t="s">
        <v>45</v>
      </c>
      <c r="H764" t="s">
        <v>42</v>
      </c>
      <c r="I764" t="s">
        <v>21</v>
      </c>
      <c r="J764">
        <v>2</v>
      </c>
      <c r="K764" t="s">
        <v>22</v>
      </c>
      <c r="L764" t="s">
        <v>23</v>
      </c>
      <c r="M764">
        <v>42</v>
      </c>
      <c r="N764" t="s">
        <v>38</v>
      </c>
      <c r="O764" t="s">
        <v>62</v>
      </c>
      <c r="P764" s="2">
        <v>3994.02</v>
      </c>
      <c r="Q764" t="s">
        <v>57</v>
      </c>
      <c r="R764" s="1">
        <v>45219</v>
      </c>
      <c r="S764" s="1"/>
    </row>
    <row r="765" spans="1:19" x14ac:dyDescent="0.3">
      <c r="A765">
        <v>24273</v>
      </c>
      <c r="B765" t="s">
        <v>17</v>
      </c>
      <c r="C765" t="s">
        <v>18</v>
      </c>
      <c r="D765">
        <v>20000</v>
      </c>
      <c r="E765" t="str">
        <f>IF(Sales_Data[[#This Row],[Income]]&lt;=20000,"Low Income",IF(Sales_Data[[#This Row],[Income]]&lt;=40000,"Lower Middle",IF(Sales_Data[[#This Row],[Income]]&lt;=60000,"Middle Income",IF(Sales_Data[[#This Row],[Income]]&lt;=80000,"Upper Middle","High Income"))))</f>
        <v>Low Income</v>
      </c>
      <c r="F765">
        <v>2</v>
      </c>
      <c r="G765" t="s">
        <v>50</v>
      </c>
      <c r="H765" t="s">
        <v>28</v>
      </c>
      <c r="I765" t="s">
        <v>21</v>
      </c>
      <c r="J765">
        <v>2</v>
      </c>
      <c r="K765" t="s">
        <v>36</v>
      </c>
      <c r="L765" t="s">
        <v>37</v>
      </c>
      <c r="M765">
        <v>55</v>
      </c>
      <c r="N765" t="s">
        <v>38</v>
      </c>
      <c r="O765" t="s">
        <v>41</v>
      </c>
      <c r="P765" s="2">
        <v>6471.64</v>
      </c>
      <c r="Q765" t="s">
        <v>57</v>
      </c>
      <c r="R765" s="1">
        <v>45228</v>
      </c>
      <c r="S765" s="1"/>
    </row>
    <row r="766" spans="1:19" x14ac:dyDescent="0.3">
      <c r="A766">
        <v>23993</v>
      </c>
      <c r="B766" t="s">
        <v>35</v>
      </c>
      <c r="C766" t="s">
        <v>18</v>
      </c>
      <c r="D766">
        <v>10000</v>
      </c>
      <c r="E766" t="str">
        <f>IF(Sales_Data[[#This Row],[Income]]&lt;=20000,"Low Income",IF(Sales_Data[[#This Row],[Income]]&lt;=40000,"Lower Middle",IF(Sales_Data[[#This Row],[Income]]&lt;=60000,"Middle Income",IF(Sales_Data[[#This Row],[Income]]&lt;=80000,"Upper Middle","High Income"))))</f>
        <v>Low Income</v>
      </c>
      <c r="F766">
        <v>0</v>
      </c>
      <c r="G766" t="s">
        <v>27</v>
      </c>
      <c r="H766" t="s">
        <v>42</v>
      </c>
      <c r="I766" t="s">
        <v>32</v>
      </c>
      <c r="J766">
        <v>1</v>
      </c>
      <c r="K766" t="s">
        <v>22</v>
      </c>
      <c r="L766" t="s">
        <v>37</v>
      </c>
      <c r="M766">
        <v>26</v>
      </c>
      <c r="N766" t="s">
        <v>38</v>
      </c>
      <c r="O766" t="s">
        <v>47</v>
      </c>
      <c r="P766" s="2">
        <v>6242.39</v>
      </c>
      <c r="Q766" t="s">
        <v>51</v>
      </c>
      <c r="R766" s="1">
        <v>45081</v>
      </c>
      <c r="S766" s="1"/>
    </row>
    <row r="767" spans="1:19" x14ac:dyDescent="0.3">
      <c r="A767">
        <v>19675</v>
      </c>
      <c r="B767" t="s">
        <v>17</v>
      </c>
      <c r="C767" t="s">
        <v>17</v>
      </c>
      <c r="D767">
        <v>20000</v>
      </c>
      <c r="E767" t="str">
        <f>IF(Sales_Data[[#This Row],[Income]]&lt;=20000,"Low Income",IF(Sales_Data[[#This Row],[Income]]&lt;=40000,"Lower Middle",IF(Sales_Data[[#This Row],[Income]]&lt;=60000,"Middle Income",IF(Sales_Data[[#This Row],[Income]]&lt;=80000,"Upper Middle","High Income"))))</f>
        <v>Low Income</v>
      </c>
      <c r="F767">
        <v>4</v>
      </c>
      <c r="G767" t="s">
        <v>45</v>
      </c>
      <c r="H767" t="s">
        <v>20</v>
      </c>
      <c r="I767" t="s">
        <v>21</v>
      </c>
      <c r="J767">
        <v>2</v>
      </c>
      <c r="K767" t="s">
        <v>36</v>
      </c>
      <c r="L767" t="s">
        <v>37</v>
      </c>
      <c r="M767">
        <v>60</v>
      </c>
      <c r="N767" t="s">
        <v>38</v>
      </c>
      <c r="O767" t="s">
        <v>54</v>
      </c>
      <c r="P767" s="2">
        <v>5262.99</v>
      </c>
      <c r="Q767" t="s">
        <v>52</v>
      </c>
      <c r="R767" s="1">
        <v>44958</v>
      </c>
      <c r="S767" s="1"/>
    </row>
    <row r="768" spans="1:19" x14ac:dyDescent="0.3">
      <c r="A768">
        <v>17845</v>
      </c>
      <c r="B768" t="s">
        <v>35</v>
      </c>
      <c r="C768" t="s">
        <v>18</v>
      </c>
      <c r="D768">
        <v>20000</v>
      </c>
      <c r="E768" t="str">
        <f>IF(Sales_Data[[#This Row],[Income]]&lt;=20000,"Low Income",IF(Sales_Data[[#This Row],[Income]]&lt;=40000,"Lower Middle",IF(Sales_Data[[#This Row],[Income]]&lt;=60000,"Middle Income",IF(Sales_Data[[#This Row],[Income]]&lt;=80000,"Upper Middle","High Income"))))</f>
        <v>Low Income</v>
      </c>
      <c r="F768">
        <v>0</v>
      </c>
      <c r="G768" t="s">
        <v>50</v>
      </c>
      <c r="H768" t="s">
        <v>42</v>
      </c>
      <c r="I768" t="s">
        <v>32</v>
      </c>
      <c r="J768">
        <v>2</v>
      </c>
      <c r="K768" t="s">
        <v>43</v>
      </c>
      <c r="L768" t="s">
        <v>23</v>
      </c>
      <c r="M768">
        <v>32</v>
      </c>
      <c r="N768" t="s">
        <v>38</v>
      </c>
      <c r="O768" t="s">
        <v>47</v>
      </c>
      <c r="P768" s="2">
        <v>8565.85</v>
      </c>
      <c r="Q768" t="s">
        <v>40</v>
      </c>
      <c r="R768" s="1">
        <v>45073</v>
      </c>
      <c r="S768" s="1"/>
    </row>
    <row r="769" spans="1:19" x14ac:dyDescent="0.3">
      <c r="A769">
        <v>14798</v>
      </c>
      <c r="B769" t="s">
        <v>35</v>
      </c>
      <c r="C769" t="s">
        <v>18</v>
      </c>
      <c r="D769">
        <v>10000</v>
      </c>
      <c r="E769" t="str">
        <f>IF(Sales_Data[[#This Row],[Income]]&lt;=20000,"Low Income",IF(Sales_Data[[#This Row],[Income]]&lt;=40000,"Lower Middle",IF(Sales_Data[[#This Row],[Income]]&lt;=60000,"Middle Income",IF(Sales_Data[[#This Row],[Income]]&lt;=80000,"Upper Middle","High Income"))))</f>
        <v>Low Income</v>
      </c>
      <c r="F769">
        <v>4</v>
      </c>
      <c r="G769" t="s">
        <v>50</v>
      </c>
      <c r="H769" t="s">
        <v>42</v>
      </c>
      <c r="I769" t="s">
        <v>21</v>
      </c>
      <c r="J769">
        <v>2</v>
      </c>
      <c r="K769" t="s">
        <v>22</v>
      </c>
      <c r="L769" t="s">
        <v>23</v>
      </c>
      <c r="M769">
        <v>41</v>
      </c>
      <c r="N769" t="s">
        <v>38</v>
      </c>
      <c r="O769" t="s">
        <v>54</v>
      </c>
      <c r="P769" s="2">
        <v>144.30000000000001</v>
      </c>
      <c r="Q769" t="s">
        <v>44</v>
      </c>
      <c r="R769" s="1">
        <v>44933</v>
      </c>
      <c r="S769" s="1"/>
    </row>
    <row r="770" spans="1:19" x14ac:dyDescent="0.3">
      <c r="A770">
        <v>23979</v>
      </c>
      <c r="B770" t="s">
        <v>35</v>
      </c>
      <c r="C770" t="s">
        <v>17</v>
      </c>
      <c r="D770">
        <v>10000</v>
      </c>
      <c r="E770" t="str">
        <f>IF(Sales_Data[[#This Row],[Income]]&lt;=20000,"Low Income",IF(Sales_Data[[#This Row],[Income]]&lt;=40000,"Lower Middle",IF(Sales_Data[[#This Row],[Income]]&lt;=60000,"Middle Income",IF(Sales_Data[[#This Row],[Income]]&lt;=80000,"Upper Middle","High Income"))))</f>
        <v>Low Income</v>
      </c>
      <c r="F770">
        <v>2</v>
      </c>
      <c r="G770" t="s">
        <v>27</v>
      </c>
      <c r="H770" t="s">
        <v>42</v>
      </c>
      <c r="I770" t="s">
        <v>32</v>
      </c>
      <c r="J770">
        <v>0</v>
      </c>
      <c r="K770" t="s">
        <v>22</v>
      </c>
      <c r="L770" t="s">
        <v>23</v>
      </c>
      <c r="M770">
        <v>50</v>
      </c>
      <c r="N770" t="s">
        <v>24</v>
      </c>
      <c r="O770" t="s">
        <v>55</v>
      </c>
      <c r="P770" s="2">
        <v>3584.86</v>
      </c>
      <c r="Q770" t="s">
        <v>48</v>
      </c>
      <c r="R770" s="1">
        <v>45149</v>
      </c>
      <c r="S770" s="1"/>
    </row>
    <row r="771" spans="1:19" x14ac:dyDescent="0.3">
      <c r="A771">
        <v>25605</v>
      </c>
      <c r="B771" t="s">
        <v>35</v>
      </c>
      <c r="C771" t="s">
        <v>18</v>
      </c>
      <c r="D771">
        <v>20000</v>
      </c>
      <c r="E771" t="str">
        <f>IF(Sales_Data[[#This Row],[Income]]&lt;=20000,"Low Income",IF(Sales_Data[[#This Row],[Income]]&lt;=40000,"Lower Middle",IF(Sales_Data[[#This Row],[Income]]&lt;=60000,"Middle Income",IF(Sales_Data[[#This Row],[Income]]&lt;=80000,"Upper Middle","High Income"))))</f>
        <v>Low Income</v>
      </c>
      <c r="F771">
        <v>2</v>
      </c>
      <c r="G771" t="s">
        <v>27</v>
      </c>
      <c r="H771" t="s">
        <v>42</v>
      </c>
      <c r="I771" t="s">
        <v>32</v>
      </c>
      <c r="J771">
        <v>1</v>
      </c>
      <c r="K771" t="s">
        <v>22</v>
      </c>
      <c r="L771" t="s">
        <v>23</v>
      </c>
      <c r="M771">
        <v>54</v>
      </c>
      <c r="N771" t="s">
        <v>24</v>
      </c>
      <c r="O771" t="s">
        <v>34</v>
      </c>
      <c r="P771" s="2">
        <v>6044.73</v>
      </c>
      <c r="Q771" t="s">
        <v>52</v>
      </c>
      <c r="R771" s="1">
        <v>44979</v>
      </c>
      <c r="S771" s="1"/>
    </row>
    <row r="772" spans="1:19" x14ac:dyDescent="0.3">
      <c r="A772">
        <v>20797</v>
      </c>
      <c r="B772" t="s">
        <v>17</v>
      </c>
      <c r="C772" t="s">
        <v>18</v>
      </c>
      <c r="D772">
        <v>10000</v>
      </c>
      <c r="E772" t="str">
        <f>IF(Sales_Data[[#This Row],[Income]]&lt;=20000,"Low Income",IF(Sales_Data[[#This Row],[Income]]&lt;=40000,"Lower Middle",IF(Sales_Data[[#This Row],[Income]]&lt;=60000,"Middle Income",IF(Sales_Data[[#This Row],[Income]]&lt;=80000,"Upper Middle","High Income"))))</f>
        <v>Low Income</v>
      </c>
      <c r="F772">
        <v>1</v>
      </c>
      <c r="G772" t="s">
        <v>19</v>
      </c>
      <c r="H772" t="s">
        <v>42</v>
      </c>
      <c r="I772" t="s">
        <v>21</v>
      </c>
      <c r="J772">
        <v>0</v>
      </c>
      <c r="K772" t="s">
        <v>22</v>
      </c>
      <c r="L772" t="s">
        <v>23</v>
      </c>
      <c r="M772">
        <v>48</v>
      </c>
      <c r="N772" t="s">
        <v>24</v>
      </c>
      <c r="O772" t="s">
        <v>49</v>
      </c>
      <c r="P772" s="2">
        <v>4065.45</v>
      </c>
      <c r="Q772" t="s">
        <v>51</v>
      </c>
      <c r="R772" s="1">
        <v>45096</v>
      </c>
      <c r="S772" s="1"/>
    </row>
    <row r="773" spans="1:19" x14ac:dyDescent="0.3">
      <c r="A773">
        <v>25460</v>
      </c>
      <c r="B773" t="s">
        <v>17</v>
      </c>
      <c r="C773" t="s">
        <v>18</v>
      </c>
      <c r="D773">
        <v>20000</v>
      </c>
      <c r="E773" t="str">
        <f>IF(Sales_Data[[#This Row],[Income]]&lt;=20000,"Low Income",IF(Sales_Data[[#This Row],[Income]]&lt;=40000,"Lower Middle",IF(Sales_Data[[#This Row],[Income]]&lt;=60000,"Middle Income",IF(Sales_Data[[#This Row],[Income]]&lt;=80000,"Upper Middle","High Income"))))</f>
        <v>Low Income</v>
      </c>
      <c r="F773">
        <v>2</v>
      </c>
      <c r="G773" t="s">
        <v>45</v>
      </c>
      <c r="H773" t="s">
        <v>42</v>
      </c>
      <c r="I773" t="s">
        <v>21</v>
      </c>
      <c r="J773">
        <v>0</v>
      </c>
      <c r="K773" t="s">
        <v>22</v>
      </c>
      <c r="L773" t="s">
        <v>23</v>
      </c>
      <c r="M773">
        <v>40</v>
      </c>
      <c r="N773" t="s">
        <v>24</v>
      </c>
      <c r="O773" t="s">
        <v>29</v>
      </c>
      <c r="P773" s="2">
        <v>4201.87</v>
      </c>
      <c r="Q773" t="s">
        <v>60</v>
      </c>
      <c r="R773" s="1">
        <v>45250</v>
      </c>
      <c r="S773" s="1"/>
    </row>
    <row r="774" spans="1:19" x14ac:dyDescent="0.3">
      <c r="A774">
        <v>22402</v>
      </c>
      <c r="B774" t="s">
        <v>17</v>
      </c>
      <c r="C774" t="s">
        <v>17</v>
      </c>
      <c r="D774">
        <v>10000</v>
      </c>
      <c r="E774" t="str">
        <f>IF(Sales_Data[[#This Row],[Income]]&lt;=20000,"Low Income",IF(Sales_Data[[#This Row],[Income]]&lt;=40000,"Lower Middle",IF(Sales_Data[[#This Row],[Income]]&lt;=60000,"Middle Income",IF(Sales_Data[[#This Row],[Income]]&lt;=80000,"Upper Middle","High Income"))))</f>
        <v>Low Income</v>
      </c>
      <c r="F774">
        <v>0</v>
      </c>
      <c r="G774" t="s">
        <v>27</v>
      </c>
      <c r="H774" t="s">
        <v>42</v>
      </c>
      <c r="I774" t="s">
        <v>21</v>
      </c>
      <c r="J774">
        <v>1</v>
      </c>
      <c r="K774" t="s">
        <v>33</v>
      </c>
      <c r="L774" t="s">
        <v>37</v>
      </c>
      <c r="M774">
        <v>25</v>
      </c>
      <c r="N774" t="s">
        <v>24</v>
      </c>
      <c r="O774" t="s">
        <v>25</v>
      </c>
      <c r="P774" s="2">
        <v>9636.9500000000007</v>
      </c>
      <c r="Q774" t="s">
        <v>40</v>
      </c>
      <c r="R774" s="1">
        <v>45066</v>
      </c>
      <c r="S774" s="1"/>
    </row>
    <row r="775" spans="1:19" x14ac:dyDescent="0.3">
      <c r="A775">
        <v>15465</v>
      </c>
      <c r="B775" t="s">
        <v>17</v>
      </c>
      <c r="C775" t="s">
        <v>18</v>
      </c>
      <c r="D775">
        <v>10000</v>
      </c>
      <c r="E775" t="str">
        <f>IF(Sales_Data[[#This Row],[Income]]&lt;=20000,"Low Income",IF(Sales_Data[[#This Row],[Income]]&lt;=40000,"Lower Middle",IF(Sales_Data[[#This Row],[Income]]&lt;=60000,"Middle Income",IF(Sales_Data[[#This Row],[Income]]&lt;=80000,"Upper Middle","High Income"))))</f>
        <v>Low Income</v>
      </c>
      <c r="F775">
        <v>0</v>
      </c>
      <c r="G775" t="s">
        <v>27</v>
      </c>
      <c r="H775" t="s">
        <v>42</v>
      </c>
      <c r="I775" t="s">
        <v>32</v>
      </c>
      <c r="J775">
        <v>1</v>
      </c>
      <c r="K775" t="s">
        <v>22</v>
      </c>
      <c r="L775" t="s">
        <v>37</v>
      </c>
      <c r="M775">
        <v>25</v>
      </c>
      <c r="N775" t="s">
        <v>24</v>
      </c>
      <c r="O775" t="s">
        <v>25</v>
      </c>
      <c r="P775" s="2">
        <v>1837.87</v>
      </c>
      <c r="Q775" t="s">
        <v>30</v>
      </c>
      <c r="R775" s="1">
        <v>44993</v>
      </c>
      <c r="S775" s="1"/>
    </row>
    <row r="776" spans="1:19" x14ac:dyDescent="0.3">
      <c r="A776">
        <v>23963</v>
      </c>
      <c r="B776" t="s">
        <v>17</v>
      </c>
      <c r="C776" t="s">
        <v>17</v>
      </c>
      <c r="D776">
        <v>10000</v>
      </c>
      <c r="E776" t="str">
        <f>IF(Sales_Data[[#This Row],[Income]]&lt;=20000,"Low Income",IF(Sales_Data[[#This Row],[Income]]&lt;=40000,"Lower Middle",IF(Sales_Data[[#This Row],[Income]]&lt;=60000,"Middle Income",IF(Sales_Data[[#This Row],[Income]]&lt;=80000,"Upper Middle","High Income"))))</f>
        <v>Low Income</v>
      </c>
      <c r="F776">
        <v>0</v>
      </c>
      <c r="G776" t="s">
        <v>50</v>
      </c>
      <c r="H776" t="s">
        <v>42</v>
      </c>
      <c r="I776" t="s">
        <v>32</v>
      </c>
      <c r="J776">
        <v>2</v>
      </c>
      <c r="K776" t="s">
        <v>22</v>
      </c>
      <c r="L776" t="s">
        <v>23</v>
      </c>
      <c r="M776">
        <v>33</v>
      </c>
      <c r="N776" t="s">
        <v>38</v>
      </c>
      <c r="O776" t="s">
        <v>39</v>
      </c>
      <c r="P776" s="2">
        <v>8063.63</v>
      </c>
      <c r="Q776" t="s">
        <v>59</v>
      </c>
      <c r="R776" s="1">
        <v>45031</v>
      </c>
      <c r="S776" s="1"/>
    </row>
    <row r="777" spans="1:19" x14ac:dyDescent="0.3">
      <c r="A777">
        <v>17907</v>
      </c>
      <c r="B777" t="s">
        <v>17</v>
      </c>
      <c r="C777" t="s">
        <v>18</v>
      </c>
      <c r="D777">
        <v>10000</v>
      </c>
      <c r="E777" t="str">
        <f>IF(Sales_Data[[#This Row],[Income]]&lt;=20000,"Low Income",IF(Sales_Data[[#This Row],[Income]]&lt;=40000,"Lower Middle",IF(Sales_Data[[#This Row],[Income]]&lt;=60000,"Middle Income",IF(Sales_Data[[#This Row],[Income]]&lt;=80000,"Upper Middle","High Income"))))</f>
        <v>Low Income</v>
      </c>
      <c r="F777">
        <v>0</v>
      </c>
      <c r="G777" t="s">
        <v>27</v>
      </c>
      <c r="H777" t="s">
        <v>42</v>
      </c>
      <c r="I777" t="s">
        <v>21</v>
      </c>
      <c r="J777">
        <v>1</v>
      </c>
      <c r="K777" t="s">
        <v>33</v>
      </c>
      <c r="L777" t="s">
        <v>37</v>
      </c>
      <c r="M777">
        <v>27</v>
      </c>
      <c r="N777" t="s">
        <v>38</v>
      </c>
      <c r="O777" t="s">
        <v>54</v>
      </c>
      <c r="P777" s="2">
        <v>7527.09</v>
      </c>
      <c r="Q777" t="s">
        <v>40</v>
      </c>
      <c r="R777" s="1">
        <v>45049</v>
      </c>
      <c r="S777" s="1"/>
    </row>
    <row r="778" spans="1:19" x14ac:dyDescent="0.3">
      <c r="A778">
        <v>12253</v>
      </c>
      <c r="B778" t="s">
        <v>35</v>
      </c>
      <c r="C778" t="s">
        <v>18</v>
      </c>
      <c r="D778">
        <v>20000</v>
      </c>
      <c r="E778" t="str">
        <f>IF(Sales_Data[[#This Row],[Income]]&lt;=20000,"Low Income",IF(Sales_Data[[#This Row],[Income]]&lt;=40000,"Lower Middle",IF(Sales_Data[[#This Row],[Income]]&lt;=60000,"Middle Income",IF(Sales_Data[[#This Row],[Income]]&lt;=80000,"Upper Middle","High Income"))))</f>
        <v>Low Income</v>
      </c>
      <c r="F778">
        <v>0</v>
      </c>
      <c r="G778" t="s">
        <v>27</v>
      </c>
      <c r="H778" t="s">
        <v>42</v>
      </c>
      <c r="I778" t="s">
        <v>21</v>
      </c>
      <c r="J778">
        <v>0</v>
      </c>
      <c r="K778" t="s">
        <v>22</v>
      </c>
      <c r="L778" t="s">
        <v>37</v>
      </c>
      <c r="M778">
        <v>29</v>
      </c>
      <c r="N778" t="s">
        <v>38</v>
      </c>
      <c r="O778" t="s">
        <v>54</v>
      </c>
      <c r="P778" s="2">
        <v>7606.82</v>
      </c>
      <c r="Q778" t="s">
        <v>40</v>
      </c>
      <c r="R778" s="1">
        <v>45059</v>
      </c>
      <c r="S778" s="1"/>
    </row>
    <row r="779" spans="1:19" x14ac:dyDescent="0.3">
      <c r="A779">
        <v>12212</v>
      </c>
      <c r="B779" t="s">
        <v>17</v>
      </c>
      <c r="C779" t="s">
        <v>18</v>
      </c>
      <c r="D779">
        <v>10000</v>
      </c>
      <c r="E779" t="str">
        <f>IF(Sales_Data[[#This Row],[Income]]&lt;=20000,"Low Income",IF(Sales_Data[[#This Row],[Income]]&lt;=40000,"Lower Middle",IF(Sales_Data[[#This Row],[Income]]&lt;=60000,"Middle Income",IF(Sales_Data[[#This Row],[Income]]&lt;=80000,"Upper Middle","High Income"))))</f>
        <v>Low Income</v>
      </c>
      <c r="F779">
        <v>0</v>
      </c>
      <c r="G779" t="s">
        <v>61</v>
      </c>
      <c r="H779" t="s">
        <v>42</v>
      </c>
      <c r="I779" t="s">
        <v>21</v>
      </c>
      <c r="J779">
        <v>0</v>
      </c>
      <c r="K779" t="s">
        <v>22</v>
      </c>
      <c r="L779" t="s">
        <v>23</v>
      </c>
      <c r="M779">
        <v>37</v>
      </c>
      <c r="N779" t="s">
        <v>38</v>
      </c>
      <c r="O779" t="s">
        <v>39</v>
      </c>
      <c r="P779" s="2">
        <v>4642.7299999999996</v>
      </c>
      <c r="Q779" t="s">
        <v>51</v>
      </c>
      <c r="R779" s="1">
        <v>45086</v>
      </c>
      <c r="S779" s="1"/>
    </row>
    <row r="780" spans="1:19" x14ac:dyDescent="0.3">
      <c r="A780">
        <v>25529</v>
      </c>
      <c r="B780" t="s">
        <v>35</v>
      </c>
      <c r="C780" t="s">
        <v>17</v>
      </c>
      <c r="D780">
        <v>10000</v>
      </c>
      <c r="E780" t="str">
        <f>IF(Sales_Data[[#This Row],[Income]]&lt;=20000,"Low Income",IF(Sales_Data[[#This Row],[Income]]&lt;=40000,"Lower Middle",IF(Sales_Data[[#This Row],[Income]]&lt;=60000,"Middle Income",IF(Sales_Data[[#This Row],[Income]]&lt;=80000,"Upper Middle","High Income"))))</f>
        <v>Low Income</v>
      </c>
      <c r="F780">
        <v>1</v>
      </c>
      <c r="G780" t="s">
        <v>61</v>
      </c>
      <c r="H780" t="s">
        <v>42</v>
      </c>
      <c r="I780" t="s">
        <v>21</v>
      </c>
      <c r="J780">
        <v>0</v>
      </c>
      <c r="K780" t="s">
        <v>22</v>
      </c>
      <c r="L780" t="s">
        <v>23</v>
      </c>
      <c r="M780">
        <v>44</v>
      </c>
      <c r="N780" t="s">
        <v>38</v>
      </c>
      <c r="O780" t="s">
        <v>54</v>
      </c>
      <c r="P780" s="2">
        <v>3843.45</v>
      </c>
      <c r="Q780" t="s">
        <v>52</v>
      </c>
      <c r="R780" s="1">
        <v>44974</v>
      </c>
      <c r="S780" s="1"/>
    </row>
    <row r="781" spans="1:19" x14ac:dyDescent="0.3">
      <c r="A781">
        <v>19445</v>
      </c>
      <c r="B781" t="s">
        <v>17</v>
      </c>
      <c r="C781" t="s">
        <v>18</v>
      </c>
      <c r="D781">
        <v>10000</v>
      </c>
      <c r="E781" t="str">
        <f>IF(Sales_Data[[#This Row],[Income]]&lt;=20000,"Low Income",IF(Sales_Data[[#This Row],[Income]]&lt;=40000,"Lower Middle",IF(Sales_Data[[#This Row],[Income]]&lt;=60000,"Middle Income",IF(Sales_Data[[#This Row],[Income]]&lt;=80000,"Upper Middle","High Income"))))</f>
        <v>Low Income</v>
      </c>
      <c r="F781">
        <v>2</v>
      </c>
      <c r="G781" t="s">
        <v>45</v>
      </c>
      <c r="H781" t="s">
        <v>42</v>
      </c>
      <c r="I781" t="s">
        <v>32</v>
      </c>
      <c r="J781">
        <v>1</v>
      </c>
      <c r="K781" t="s">
        <v>22</v>
      </c>
      <c r="L781" t="s">
        <v>23</v>
      </c>
      <c r="M781">
        <v>38</v>
      </c>
      <c r="N781" t="s">
        <v>24</v>
      </c>
      <c r="O781" t="s">
        <v>55</v>
      </c>
      <c r="P781" s="2">
        <v>4813.1400000000003</v>
      </c>
      <c r="Q781" t="s">
        <v>51</v>
      </c>
      <c r="R781" s="1">
        <v>45096</v>
      </c>
      <c r="S781" s="1"/>
    </row>
    <row r="782" spans="1:19" x14ac:dyDescent="0.3">
      <c r="A782">
        <v>17843</v>
      </c>
      <c r="B782" t="s">
        <v>35</v>
      </c>
      <c r="C782" t="s">
        <v>18</v>
      </c>
      <c r="D782">
        <v>10000</v>
      </c>
      <c r="E782" t="str">
        <f>IF(Sales_Data[[#This Row],[Income]]&lt;=20000,"Low Income",IF(Sales_Data[[#This Row],[Income]]&lt;=40000,"Lower Middle",IF(Sales_Data[[#This Row],[Income]]&lt;=60000,"Middle Income",IF(Sales_Data[[#This Row],[Income]]&lt;=80000,"Upper Middle","High Income"))))</f>
        <v>Low Income</v>
      </c>
      <c r="F782">
        <v>0</v>
      </c>
      <c r="G782" t="s">
        <v>50</v>
      </c>
      <c r="H782" t="s">
        <v>42</v>
      </c>
      <c r="I782" t="s">
        <v>32</v>
      </c>
      <c r="J782">
        <v>2</v>
      </c>
      <c r="K782" t="s">
        <v>22</v>
      </c>
      <c r="L782" t="s">
        <v>23</v>
      </c>
      <c r="M782">
        <v>32</v>
      </c>
      <c r="N782" t="s">
        <v>38</v>
      </c>
      <c r="O782" t="s">
        <v>47</v>
      </c>
      <c r="P782" s="2">
        <v>7661.16</v>
      </c>
      <c r="Q782" t="s">
        <v>58</v>
      </c>
      <c r="R782" s="1">
        <v>45132</v>
      </c>
      <c r="S782" s="1"/>
    </row>
    <row r="783" spans="1:19" x14ac:dyDescent="0.3">
      <c r="A783">
        <v>25559</v>
      </c>
      <c r="B783" t="s">
        <v>35</v>
      </c>
      <c r="C783" t="s">
        <v>17</v>
      </c>
      <c r="D783">
        <v>20000</v>
      </c>
      <c r="E783" t="str">
        <f>IF(Sales_Data[[#This Row],[Income]]&lt;=20000,"Low Income",IF(Sales_Data[[#This Row],[Income]]&lt;=40000,"Lower Middle",IF(Sales_Data[[#This Row],[Income]]&lt;=60000,"Middle Income",IF(Sales_Data[[#This Row],[Income]]&lt;=80000,"Upper Middle","High Income"))))</f>
        <v>Low Income</v>
      </c>
      <c r="F783">
        <v>0</v>
      </c>
      <c r="G783" t="s">
        <v>19</v>
      </c>
      <c r="H783" t="s">
        <v>28</v>
      </c>
      <c r="I783" t="s">
        <v>21</v>
      </c>
      <c r="J783">
        <v>0</v>
      </c>
      <c r="K783" t="s">
        <v>22</v>
      </c>
      <c r="L783" t="s">
        <v>37</v>
      </c>
      <c r="M783">
        <v>25</v>
      </c>
      <c r="N783" t="s">
        <v>38</v>
      </c>
      <c r="O783" t="s">
        <v>47</v>
      </c>
      <c r="P783" s="2">
        <v>2681.77</v>
      </c>
      <c r="Q783" t="s">
        <v>30</v>
      </c>
      <c r="R783" s="1">
        <v>45002</v>
      </c>
      <c r="S783" s="1"/>
    </row>
    <row r="784" spans="1:19" x14ac:dyDescent="0.3">
      <c r="A784">
        <v>12585</v>
      </c>
      <c r="B784" t="s">
        <v>17</v>
      </c>
      <c r="C784" t="s">
        <v>17</v>
      </c>
      <c r="D784">
        <v>10000</v>
      </c>
      <c r="E784" t="str">
        <f>IF(Sales_Data[[#This Row],[Income]]&lt;=20000,"Low Income",IF(Sales_Data[[#This Row],[Income]]&lt;=40000,"Lower Middle",IF(Sales_Data[[#This Row],[Income]]&lt;=60000,"Middle Income",IF(Sales_Data[[#This Row],[Income]]&lt;=80000,"Upper Middle","High Income"))))</f>
        <v>Low Income</v>
      </c>
      <c r="F784">
        <v>1</v>
      </c>
      <c r="G784" t="s">
        <v>45</v>
      </c>
      <c r="H784" t="s">
        <v>42</v>
      </c>
      <c r="I784" t="s">
        <v>21</v>
      </c>
      <c r="J784">
        <v>0</v>
      </c>
      <c r="K784" t="s">
        <v>33</v>
      </c>
      <c r="L784" t="s">
        <v>37</v>
      </c>
      <c r="M784">
        <v>27</v>
      </c>
      <c r="N784" t="s">
        <v>38</v>
      </c>
      <c r="O784" t="s">
        <v>39</v>
      </c>
      <c r="P784" s="2">
        <v>9688.0300000000007</v>
      </c>
      <c r="Q784" t="s">
        <v>51</v>
      </c>
      <c r="R784" s="1">
        <v>45092</v>
      </c>
      <c r="S784" s="1"/>
    </row>
    <row r="785" spans="1:19" x14ac:dyDescent="0.3">
      <c r="A785">
        <v>28729</v>
      </c>
      <c r="B785" t="s">
        <v>35</v>
      </c>
      <c r="C785" t="s">
        <v>18</v>
      </c>
      <c r="D785">
        <v>20000</v>
      </c>
      <c r="E785" t="str">
        <f>IF(Sales_Data[[#This Row],[Income]]&lt;=20000,"Low Income",IF(Sales_Data[[#This Row],[Income]]&lt;=40000,"Lower Middle",IF(Sales_Data[[#This Row],[Income]]&lt;=60000,"Middle Income",IF(Sales_Data[[#This Row],[Income]]&lt;=80000,"Upper Middle","High Income"))))</f>
        <v>Low Income</v>
      </c>
      <c r="F785">
        <v>0</v>
      </c>
      <c r="G785" t="s">
        <v>50</v>
      </c>
      <c r="H785" t="s">
        <v>42</v>
      </c>
      <c r="I785" t="s">
        <v>21</v>
      </c>
      <c r="J785">
        <v>2</v>
      </c>
      <c r="K785" t="s">
        <v>43</v>
      </c>
      <c r="L785" t="s">
        <v>23</v>
      </c>
      <c r="M785">
        <v>26</v>
      </c>
      <c r="N785" t="s">
        <v>38</v>
      </c>
      <c r="O785" t="s">
        <v>62</v>
      </c>
      <c r="P785" s="2">
        <v>8554.23</v>
      </c>
      <c r="Q785" t="s">
        <v>48</v>
      </c>
      <c r="R785" s="1">
        <v>45168</v>
      </c>
      <c r="S785" s="1"/>
    </row>
    <row r="786" spans="1:19" x14ac:dyDescent="0.3">
      <c r="A786">
        <v>25026</v>
      </c>
      <c r="B786" t="s">
        <v>17</v>
      </c>
      <c r="C786" t="s">
        <v>17</v>
      </c>
      <c r="D786">
        <v>20000</v>
      </c>
      <c r="E786" t="str">
        <f>IF(Sales_Data[[#This Row],[Income]]&lt;=20000,"Low Income",IF(Sales_Data[[#This Row],[Income]]&lt;=40000,"Lower Middle",IF(Sales_Data[[#This Row],[Income]]&lt;=60000,"Middle Income",IF(Sales_Data[[#This Row],[Income]]&lt;=80000,"Upper Middle","High Income"))))</f>
        <v>Low Income</v>
      </c>
      <c r="F786">
        <v>2</v>
      </c>
      <c r="G786" t="s">
        <v>50</v>
      </c>
      <c r="H786" t="s">
        <v>28</v>
      </c>
      <c r="I786" t="s">
        <v>21</v>
      </c>
      <c r="J786">
        <v>3</v>
      </c>
      <c r="K786" t="s">
        <v>36</v>
      </c>
      <c r="L786" t="s">
        <v>37</v>
      </c>
      <c r="M786">
        <v>54</v>
      </c>
      <c r="N786" t="s">
        <v>24</v>
      </c>
      <c r="O786" t="s">
        <v>55</v>
      </c>
      <c r="P786" s="2">
        <v>965.08</v>
      </c>
      <c r="Q786" t="s">
        <v>56</v>
      </c>
      <c r="R786" s="1">
        <v>45180</v>
      </c>
      <c r="S786" s="1"/>
    </row>
    <row r="787" spans="1:19" x14ac:dyDescent="0.3">
      <c r="A787">
        <v>13673</v>
      </c>
      <c r="B787" t="s">
        <v>35</v>
      </c>
      <c r="C787" t="s">
        <v>18</v>
      </c>
      <c r="D787">
        <v>20000</v>
      </c>
      <c r="E787" t="str">
        <f>IF(Sales_Data[[#This Row],[Income]]&lt;=20000,"Low Income",IF(Sales_Data[[#This Row],[Income]]&lt;=40000,"Lower Middle",IF(Sales_Data[[#This Row],[Income]]&lt;=60000,"Middle Income",IF(Sales_Data[[#This Row],[Income]]&lt;=80000,"Upper Middle","High Income"))))</f>
        <v>Low Income</v>
      </c>
      <c r="F787">
        <v>0</v>
      </c>
      <c r="G787" t="s">
        <v>50</v>
      </c>
      <c r="H787" t="s">
        <v>42</v>
      </c>
      <c r="I787" t="s">
        <v>32</v>
      </c>
      <c r="J787">
        <v>2</v>
      </c>
      <c r="K787" t="s">
        <v>22</v>
      </c>
      <c r="L787" t="s">
        <v>23</v>
      </c>
      <c r="M787">
        <v>25</v>
      </c>
      <c r="N787" t="s">
        <v>38</v>
      </c>
      <c r="O787" t="s">
        <v>41</v>
      </c>
      <c r="P787" s="2">
        <v>3014.84</v>
      </c>
      <c r="Q787" t="s">
        <v>52</v>
      </c>
      <c r="R787" s="1">
        <v>44974</v>
      </c>
      <c r="S787" s="1"/>
    </row>
    <row r="788" spans="1:19" x14ac:dyDescent="0.3">
      <c r="A788">
        <v>16043</v>
      </c>
      <c r="B788" t="s">
        <v>35</v>
      </c>
      <c r="C788" t="s">
        <v>17</v>
      </c>
      <c r="D788">
        <v>10000</v>
      </c>
      <c r="E788" t="str">
        <f>IF(Sales_Data[[#This Row],[Income]]&lt;=20000,"Low Income",IF(Sales_Data[[#This Row],[Income]]&lt;=40000,"Lower Middle",IF(Sales_Data[[#This Row],[Income]]&lt;=60000,"Middle Income",IF(Sales_Data[[#This Row],[Income]]&lt;=80000,"Upper Middle","High Income"))))</f>
        <v>Low Income</v>
      </c>
      <c r="F788">
        <v>1</v>
      </c>
      <c r="G788" t="s">
        <v>19</v>
      </c>
      <c r="H788" t="s">
        <v>42</v>
      </c>
      <c r="I788" t="s">
        <v>21</v>
      </c>
      <c r="J788">
        <v>0</v>
      </c>
      <c r="K788" t="s">
        <v>22</v>
      </c>
      <c r="L788" t="s">
        <v>23</v>
      </c>
      <c r="M788">
        <v>48</v>
      </c>
      <c r="N788" t="s">
        <v>38</v>
      </c>
      <c r="O788" t="s">
        <v>47</v>
      </c>
      <c r="P788" s="2">
        <v>8996.8700000000008</v>
      </c>
      <c r="Q788" t="s">
        <v>30</v>
      </c>
      <c r="R788" s="1">
        <v>45012</v>
      </c>
      <c r="S788" s="1"/>
    </row>
    <row r="789" spans="1:19" x14ac:dyDescent="0.3">
      <c r="A789">
        <v>22399</v>
      </c>
      <c r="B789" t="s">
        <v>35</v>
      </c>
      <c r="C789" t="s">
        <v>17</v>
      </c>
      <c r="D789">
        <v>10000</v>
      </c>
      <c r="E789" t="str">
        <f>IF(Sales_Data[[#This Row],[Income]]&lt;=20000,"Low Income",IF(Sales_Data[[#This Row],[Income]]&lt;=40000,"Lower Middle",IF(Sales_Data[[#This Row],[Income]]&lt;=60000,"Middle Income",IF(Sales_Data[[#This Row],[Income]]&lt;=80000,"Upper Middle","High Income"))))</f>
        <v>Low Income</v>
      </c>
      <c r="F789">
        <v>0</v>
      </c>
      <c r="G789" t="s">
        <v>27</v>
      </c>
      <c r="H789" t="s">
        <v>42</v>
      </c>
      <c r="I789" t="s">
        <v>21</v>
      </c>
      <c r="J789">
        <v>1</v>
      </c>
      <c r="K789" t="s">
        <v>43</v>
      </c>
      <c r="L789" t="s">
        <v>37</v>
      </c>
      <c r="M789">
        <v>26</v>
      </c>
      <c r="N789" t="s">
        <v>24</v>
      </c>
      <c r="O789" t="s">
        <v>25</v>
      </c>
      <c r="P789" s="2">
        <v>1080.8</v>
      </c>
      <c r="Q789" t="s">
        <v>56</v>
      </c>
      <c r="R789" s="1">
        <v>45174</v>
      </c>
      <c r="S789" s="1"/>
    </row>
    <row r="790" spans="1:19" x14ac:dyDescent="0.3">
      <c r="A790">
        <v>25313</v>
      </c>
      <c r="B790" t="s">
        <v>35</v>
      </c>
      <c r="C790" t="s">
        <v>17</v>
      </c>
      <c r="D790">
        <v>10000</v>
      </c>
      <c r="E790" t="str">
        <f>IF(Sales_Data[[#This Row],[Income]]&lt;=20000,"Low Income",IF(Sales_Data[[#This Row],[Income]]&lt;=40000,"Lower Middle",IF(Sales_Data[[#This Row],[Income]]&lt;=60000,"Middle Income",IF(Sales_Data[[#This Row],[Income]]&lt;=80000,"Upper Middle","High Income"))))</f>
        <v>Low Income</v>
      </c>
      <c r="F790">
        <v>0</v>
      </c>
      <c r="G790" t="s">
        <v>50</v>
      </c>
      <c r="H790" t="s">
        <v>42</v>
      </c>
      <c r="I790" t="s">
        <v>32</v>
      </c>
      <c r="J790">
        <v>2</v>
      </c>
      <c r="K790" t="s">
        <v>43</v>
      </c>
      <c r="L790" t="s">
        <v>23</v>
      </c>
      <c r="M790">
        <v>35</v>
      </c>
      <c r="N790" t="s">
        <v>38</v>
      </c>
      <c r="O790" t="s">
        <v>62</v>
      </c>
      <c r="P790" s="2">
        <v>5122.49</v>
      </c>
      <c r="Q790" t="s">
        <v>57</v>
      </c>
      <c r="R790" s="1">
        <v>45215</v>
      </c>
      <c r="S790" s="1"/>
    </row>
    <row r="791" spans="1:19" x14ac:dyDescent="0.3">
      <c r="A791">
        <v>14135</v>
      </c>
      <c r="B791" t="s">
        <v>17</v>
      </c>
      <c r="C791" t="s">
        <v>17</v>
      </c>
      <c r="D791">
        <v>20000</v>
      </c>
      <c r="E791" t="str">
        <f>IF(Sales_Data[[#This Row],[Income]]&lt;=20000,"Low Income",IF(Sales_Data[[#This Row],[Income]]&lt;=40000,"Lower Middle",IF(Sales_Data[[#This Row],[Income]]&lt;=60000,"Middle Income",IF(Sales_Data[[#This Row],[Income]]&lt;=80000,"Upper Middle","High Income"))))</f>
        <v>Low Income</v>
      </c>
      <c r="F791">
        <v>1</v>
      </c>
      <c r="G791" t="s">
        <v>27</v>
      </c>
      <c r="H791" t="s">
        <v>42</v>
      </c>
      <c r="I791" t="s">
        <v>21</v>
      </c>
      <c r="J791">
        <v>0</v>
      </c>
      <c r="K791" t="s">
        <v>43</v>
      </c>
      <c r="L791" t="s">
        <v>23</v>
      </c>
      <c r="M791">
        <v>35</v>
      </c>
      <c r="N791" t="s">
        <v>38</v>
      </c>
      <c r="O791" t="s">
        <v>39</v>
      </c>
      <c r="P791" s="2">
        <v>1933.43</v>
      </c>
      <c r="Q791" t="s">
        <v>52</v>
      </c>
      <c r="R791" s="1">
        <v>44980</v>
      </c>
      <c r="S791" s="1"/>
    </row>
    <row r="792" spans="1:19" x14ac:dyDescent="0.3">
      <c r="A792">
        <v>12833</v>
      </c>
      <c r="B792" t="s">
        <v>35</v>
      </c>
      <c r="C792" t="s">
        <v>18</v>
      </c>
      <c r="D792">
        <v>20000</v>
      </c>
      <c r="E792" t="str">
        <f>IF(Sales_Data[[#This Row],[Income]]&lt;=20000,"Low Income",IF(Sales_Data[[#This Row],[Income]]&lt;=40000,"Lower Middle",IF(Sales_Data[[#This Row],[Income]]&lt;=60000,"Middle Income",IF(Sales_Data[[#This Row],[Income]]&lt;=80000,"Upper Middle","High Income"))))</f>
        <v>Low Income</v>
      </c>
      <c r="F792">
        <v>3</v>
      </c>
      <c r="G792" t="s">
        <v>45</v>
      </c>
      <c r="H792" t="s">
        <v>42</v>
      </c>
      <c r="I792" t="s">
        <v>21</v>
      </c>
      <c r="J792">
        <v>1</v>
      </c>
      <c r="K792" t="s">
        <v>22</v>
      </c>
      <c r="L792" t="s">
        <v>23</v>
      </c>
      <c r="M792">
        <v>42</v>
      </c>
      <c r="N792" t="s">
        <v>24</v>
      </c>
      <c r="O792" t="s">
        <v>34</v>
      </c>
      <c r="P792" s="2">
        <v>8266.41</v>
      </c>
      <c r="Q792" t="s">
        <v>30</v>
      </c>
      <c r="R792" s="1">
        <v>44995</v>
      </c>
      <c r="S792" s="1"/>
    </row>
    <row r="793" spans="1:19" x14ac:dyDescent="0.3">
      <c r="A793">
        <v>26849</v>
      </c>
      <c r="B793" t="s">
        <v>17</v>
      </c>
      <c r="C793" t="s">
        <v>17</v>
      </c>
      <c r="D793">
        <v>10000</v>
      </c>
      <c r="E793" t="str">
        <f>IF(Sales_Data[[#This Row],[Income]]&lt;=20000,"Low Income",IF(Sales_Data[[#This Row],[Income]]&lt;=40000,"Lower Middle",IF(Sales_Data[[#This Row],[Income]]&lt;=60000,"Middle Income",IF(Sales_Data[[#This Row],[Income]]&lt;=80000,"Upper Middle","High Income"))))</f>
        <v>Low Income</v>
      </c>
      <c r="F793">
        <v>3</v>
      </c>
      <c r="G793" t="s">
        <v>50</v>
      </c>
      <c r="H793" t="s">
        <v>42</v>
      </c>
      <c r="I793" t="s">
        <v>21</v>
      </c>
      <c r="J793">
        <v>2</v>
      </c>
      <c r="K793" t="s">
        <v>22</v>
      </c>
      <c r="L793" t="s">
        <v>23</v>
      </c>
      <c r="M793">
        <v>43</v>
      </c>
      <c r="N793" t="s">
        <v>24</v>
      </c>
      <c r="O793" t="s">
        <v>55</v>
      </c>
      <c r="P793" s="2">
        <v>6773.86</v>
      </c>
      <c r="Q793" t="s">
        <v>56</v>
      </c>
      <c r="R793" s="1">
        <v>45187</v>
      </c>
      <c r="S793" s="1"/>
    </row>
    <row r="794" spans="1:19" x14ac:dyDescent="0.3">
      <c r="A794">
        <v>20962</v>
      </c>
      <c r="B794" t="s">
        <v>17</v>
      </c>
      <c r="C794" t="s">
        <v>18</v>
      </c>
      <c r="D794">
        <v>20000</v>
      </c>
      <c r="E794" t="str">
        <f>IF(Sales_Data[[#This Row],[Income]]&lt;=20000,"Low Income",IF(Sales_Data[[#This Row],[Income]]&lt;=40000,"Lower Middle",IF(Sales_Data[[#This Row],[Income]]&lt;=60000,"Middle Income",IF(Sales_Data[[#This Row],[Income]]&lt;=80000,"Upper Middle","High Income"))))</f>
        <v>Low Income</v>
      </c>
      <c r="F794">
        <v>1</v>
      </c>
      <c r="G794" t="s">
        <v>61</v>
      </c>
      <c r="H794" t="s">
        <v>28</v>
      </c>
      <c r="I794" t="s">
        <v>21</v>
      </c>
      <c r="J794">
        <v>0</v>
      </c>
      <c r="K794" t="s">
        <v>22</v>
      </c>
      <c r="L794" t="s">
        <v>23</v>
      </c>
      <c r="M794">
        <v>45</v>
      </c>
      <c r="N794" t="s">
        <v>38</v>
      </c>
      <c r="O794" t="s">
        <v>62</v>
      </c>
      <c r="P794" s="2">
        <v>5355.04</v>
      </c>
      <c r="Q794" t="s">
        <v>52</v>
      </c>
      <c r="R794" s="1">
        <v>44969</v>
      </c>
      <c r="S794" s="1"/>
    </row>
    <row r="795" spans="1:19" x14ac:dyDescent="0.3">
      <c r="A795">
        <v>24174</v>
      </c>
      <c r="B795" t="s">
        <v>17</v>
      </c>
      <c r="C795" t="s">
        <v>17</v>
      </c>
      <c r="D795">
        <v>20000</v>
      </c>
      <c r="E795" t="str">
        <f>IF(Sales_Data[[#This Row],[Income]]&lt;=20000,"Low Income",IF(Sales_Data[[#This Row],[Income]]&lt;=40000,"Lower Middle",IF(Sales_Data[[#This Row],[Income]]&lt;=60000,"Middle Income",IF(Sales_Data[[#This Row],[Income]]&lt;=80000,"Upper Middle","High Income"))))</f>
        <v>Low Income</v>
      </c>
      <c r="F795">
        <v>0</v>
      </c>
      <c r="G795" t="s">
        <v>19</v>
      </c>
      <c r="H795" t="s">
        <v>28</v>
      </c>
      <c r="I795" t="s">
        <v>21</v>
      </c>
      <c r="J795">
        <v>0</v>
      </c>
      <c r="K795" t="s">
        <v>22</v>
      </c>
      <c r="L795" t="s">
        <v>37</v>
      </c>
      <c r="M795">
        <v>27</v>
      </c>
      <c r="N795" t="s">
        <v>38</v>
      </c>
      <c r="O795" t="s">
        <v>41</v>
      </c>
      <c r="P795" s="2">
        <v>2039.6</v>
      </c>
      <c r="Q795" t="s">
        <v>40</v>
      </c>
      <c r="R795" s="1">
        <v>45058</v>
      </c>
      <c r="S795" s="1"/>
    </row>
    <row r="796" spans="1:19" x14ac:dyDescent="0.3">
      <c r="A796">
        <v>11340</v>
      </c>
      <c r="B796" t="s">
        <v>17</v>
      </c>
      <c r="C796" t="s">
        <v>18</v>
      </c>
      <c r="D796">
        <v>10000</v>
      </c>
      <c r="E796" t="str">
        <f>IF(Sales_Data[[#This Row],[Income]]&lt;=20000,"Low Income",IF(Sales_Data[[#This Row],[Income]]&lt;=40000,"Lower Middle",IF(Sales_Data[[#This Row],[Income]]&lt;=60000,"Middle Income",IF(Sales_Data[[#This Row],[Income]]&lt;=80000,"Upper Middle","High Income"))))</f>
        <v>Low Income</v>
      </c>
      <c r="F796">
        <v>1</v>
      </c>
      <c r="G796" t="s">
        <v>61</v>
      </c>
      <c r="H796" t="s">
        <v>28</v>
      </c>
      <c r="I796" t="s">
        <v>21</v>
      </c>
      <c r="J796">
        <v>0</v>
      </c>
      <c r="K796" t="s">
        <v>22</v>
      </c>
      <c r="L796" t="s">
        <v>23</v>
      </c>
      <c r="M796">
        <v>70</v>
      </c>
      <c r="N796" t="s">
        <v>24</v>
      </c>
      <c r="O796" t="s">
        <v>29</v>
      </c>
      <c r="P796" s="2">
        <v>1196.6500000000001</v>
      </c>
      <c r="Q796" t="s">
        <v>30</v>
      </c>
      <c r="R796" s="1">
        <v>44988</v>
      </c>
      <c r="S796" s="1"/>
    </row>
    <row r="797" spans="1:19" x14ac:dyDescent="0.3">
      <c r="A797">
        <v>25555</v>
      </c>
      <c r="B797" t="s">
        <v>17</v>
      </c>
      <c r="C797" t="s">
        <v>18</v>
      </c>
      <c r="D797">
        <v>10000</v>
      </c>
      <c r="E797" t="str">
        <f>IF(Sales_Data[[#This Row],[Income]]&lt;=20000,"Low Income",IF(Sales_Data[[#This Row],[Income]]&lt;=40000,"Lower Middle",IF(Sales_Data[[#This Row],[Income]]&lt;=60000,"Middle Income",IF(Sales_Data[[#This Row],[Income]]&lt;=80000,"Upper Middle","High Income"))))</f>
        <v>Low Income</v>
      </c>
      <c r="F797">
        <v>0</v>
      </c>
      <c r="G797" t="s">
        <v>27</v>
      </c>
      <c r="H797" t="s">
        <v>42</v>
      </c>
      <c r="I797" t="s">
        <v>32</v>
      </c>
      <c r="J797">
        <v>1</v>
      </c>
      <c r="K797" t="s">
        <v>22</v>
      </c>
      <c r="L797" t="s">
        <v>37</v>
      </c>
      <c r="M797">
        <v>26</v>
      </c>
      <c r="N797" t="s">
        <v>38</v>
      </c>
      <c r="O797" t="s">
        <v>39</v>
      </c>
      <c r="P797" s="2">
        <v>588.45000000000005</v>
      </c>
      <c r="Q797" t="s">
        <v>44</v>
      </c>
      <c r="R797" s="1">
        <v>44944</v>
      </c>
      <c r="S797" s="1"/>
    </row>
    <row r="798" spans="1:19" x14ac:dyDescent="0.3">
      <c r="A798">
        <v>17702</v>
      </c>
      <c r="B798" t="s">
        <v>17</v>
      </c>
      <c r="C798" t="s">
        <v>17</v>
      </c>
      <c r="D798">
        <v>10000</v>
      </c>
      <c r="E798" t="str">
        <f>IF(Sales_Data[[#This Row],[Income]]&lt;=20000,"Low Income",IF(Sales_Data[[#This Row],[Income]]&lt;=40000,"Lower Middle",IF(Sales_Data[[#This Row],[Income]]&lt;=60000,"Middle Income",IF(Sales_Data[[#This Row],[Income]]&lt;=80000,"Upper Middle","High Income"))))</f>
        <v>Low Income</v>
      </c>
      <c r="F798">
        <v>1</v>
      </c>
      <c r="G798" t="s">
        <v>61</v>
      </c>
      <c r="H798" t="s">
        <v>42</v>
      </c>
      <c r="I798" t="s">
        <v>21</v>
      </c>
      <c r="J798">
        <v>0</v>
      </c>
      <c r="K798" t="s">
        <v>22</v>
      </c>
      <c r="L798" t="s">
        <v>23</v>
      </c>
      <c r="M798">
        <v>37</v>
      </c>
      <c r="N798" t="s">
        <v>38</v>
      </c>
      <c r="O798" t="s">
        <v>41</v>
      </c>
      <c r="P798" s="2">
        <v>5221.79</v>
      </c>
      <c r="Q798" t="s">
        <v>30</v>
      </c>
      <c r="R798" s="1">
        <v>45001</v>
      </c>
      <c r="S798" s="1"/>
    </row>
    <row r="799" spans="1:19" x14ac:dyDescent="0.3">
      <c r="A799">
        <v>22527</v>
      </c>
      <c r="B799" t="s">
        <v>35</v>
      </c>
      <c r="C799" t="s">
        <v>18</v>
      </c>
      <c r="D799">
        <v>20000</v>
      </c>
      <c r="E799" t="str">
        <f>IF(Sales_Data[[#This Row],[Income]]&lt;=20000,"Low Income",IF(Sales_Data[[#This Row],[Income]]&lt;=40000,"Lower Middle",IF(Sales_Data[[#This Row],[Income]]&lt;=60000,"Middle Income",IF(Sales_Data[[#This Row],[Income]]&lt;=80000,"Upper Middle","High Income"))))</f>
        <v>Low Income</v>
      </c>
      <c r="F799">
        <v>0</v>
      </c>
      <c r="G799" t="s">
        <v>45</v>
      </c>
      <c r="H799" t="s">
        <v>42</v>
      </c>
      <c r="I799" t="s">
        <v>32</v>
      </c>
      <c r="J799">
        <v>1</v>
      </c>
      <c r="K799" t="s">
        <v>33</v>
      </c>
      <c r="L799" t="s">
        <v>23</v>
      </c>
      <c r="M799">
        <v>29</v>
      </c>
      <c r="N799" t="s">
        <v>38</v>
      </c>
      <c r="O799" t="s">
        <v>47</v>
      </c>
      <c r="P799" s="2">
        <v>5936.52</v>
      </c>
      <c r="Q799" t="s">
        <v>57</v>
      </c>
      <c r="R799" s="1">
        <v>45229</v>
      </c>
      <c r="S799" s="1"/>
    </row>
    <row r="800" spans="1:19" x14ac:dyDescent="0.3">
      <c r="A800">
        <v>13981</v>
      </c>
      <c r="B800" t="s">
        <v>17</v>
      </c>
      <c r="C800" t="s">
        <v>18</v>
      </c>
      <c r="D800">
        <v>10000</v>
      </c>
      <c r="E800" t="str">
        <f>IF(Sales_Data[[#This Row],[Income]]&lt;=20000,"Low Income",IF(Sales_Data[[#This Row],[Income]]&lt;=40000,"Lower Middle",IF(Sales_Data[[#This Row],[Income]]&lt;=60000,"Middle Income",IF(Sales_Data[[#This Row],[Income]]&lt;=80000,"Upper Middle","High Income"))))</f>
        <v>Low Income</v>
      </c>
      <c r="F800">
        <v>5</v>
      </c>
      <c r="G800" t="s">
        <v>45</v>
      </c>
      <c r="H800" t="s">
        <v>20</v>
      </c>
      <c r="I800" t="s">
        <v>32</v>
      </c>
      <c r="J800">
        <v>3</v>
      </c>
      <c r="K800" t="s">
        <v>43</v>
      </c>
      <c r="L800" t="s">
        <v>37</v>
      </c>
      <c r="M800">
        <v>62</v>
      </c>
      <c r="N800" t="s">
        <v>38</v>
      </c>
      <c r="O800" t="s">
        <v>41</v>
      </c>
      <c r="P800" s="2">
        <v>2408.1799999999998</v>
      </c>
      <c r="Q800" t="s">
        <v>40</v>
      </c>
      <c r="R800" s="1">
        <v>45055</v>
      </c>
      <c r="S800" s="1"/>
    </row>
    <row r="801" spans="1:19" x14ac:dyDescent="0.3">
      <c r="A801">
        <v>21375</v>
      </c>
      <c r="B801" t="s">
        <v>35</v>
      </c>
      <c r="C801" t="s">
        <v>17</v>
      </c>
      <c r="D801">
        <v>20000</v>
      </c>
      <c r="E801" t="str">
        <f>IF(Sales_Data[[#This Row],[Income]]&lt;=20000,"Low Income",IF(Sales_Data[[#This Row],[Income]]&lt;=40000,"Lower Middle",IF(Sales_Data[[#This Row],[Income]]&lt;=60000,"Middle Income",IF(Sales_Data[[#This Row],[Income]]&lt;=80000,"Upper Middle","High Income"))))</f>
        <v>Low Income</v>
      </c>
      <c r="F801">
        <v>2</v>
      </c>
      <c r="G801" t="s">
        <v>50</v>
      </c>
      <c r="H801" t="s">
        <v>28</v>
      </c>
      <c r="I801" t="s">
        <v>21</v>
      </c>
      <c r="J801">
        <v>2</v>
      </c>
      <c r="K801" t="s">
        <v>36</v>
      </c>
      <c r="L801" t="s">
        <v>37</v>
      </c>
      <c r="M801">
        <v>57</v>
      </c>
      <c r="N801" t="s">
        <v>24</v>
      </c>
      <c r="O801" t="s">
        <v>49</v>
      </c>
      <c r="P801" s="2">
        <v>6068.95</v>
      </c>
      <c r="Q801" t="s">
        <v>57</v>
      </c>
      <c r="R801" s="1">
        <v>45200</v>
      </c>
      <c r="S801" s="1"/>
    </row>
    <row r="802" spans="1:19" x14ac:dyDescent="0.3">
      <c r="A802">
        <v>21738</v>
      </c>
      <c r="B802" t="s">
        <v>17</v>
      </c>
      <c r="C802" t="s">
        <v>17</v>
      </c>
      <c r="D802">
        <v>20000</v>
      </c>
      <c r="E802" t="str">
        <f>IF(Sales_Data[[#This Row],[Income]]&lt;=20000,"Low Income",IF(Sales_Data[[#This Row],[Income]]&lt;=40000,"Lower Middle",IF(Sales_Data[[#This Row],[Income]]&lt;=60000,"Middle Income",IF(Sales_Data[[#This Row],[Income]]&lt;=80000,"Upper Middle","High Income"))))</f>
        <v>Low Income</v>
      </c>
      <c r="F802">
        <v>1</v>
      </c>
      <c r="G802" t="s">
        <v>61</v>
      </c>
      <c r="H802" t="s">
        <v>28</v>
      </c>
      <c r="I802" t="s">
        <v>21</v>
      </c>
      <c r="J802">
        <v>0</v>
      </c>
      <c r="K802" t="s">
        <v>22</v>
      </c>
      <c r="L802" t="s">
        <v>23</v>
      </c>
      <c r="M802">
        <v>43</v>
      </c>
      <c r="N802" t="s">
        <v>24</v>
      </c>
      <c r="O802" t="s">
        <v>55</v>
      </c>
      <c r="P802" s="2">
        <v>8277.02</v>
      </c>
      <c r="Q802" t="s">
        <v>44</v>
      </c>
      <c r="R802" s="1">
        <v>44947</v>
      </c>
      <c r="S802" s="1"/>
    </row>
    <row r="803" spans="1:19" x14ac:dyDescent="0.3">
      <c r="A803">
        <v>28468</v>
      </c>
      <c r="B803" t="s">
        <v>17</v>
      </c>
      <c r="C803" t="s">
        <v>18</v>
      </c>
      <c r="D803">
        <v>10000</v>
      </c>
      <c r="E803" t="str">
        <f>IF(Sales_Data[[#This Row],[Income]]&lt;=20000,"Low Income",IF(Sales_Data[[#This Row],[Income]]&lt;=40000,"Lower Middle",IF(Sales_Data[[#This Row],[Income]]&lt;=60000,"Middle Income",IF(Sales_Data[[#This Row],[Income]]&lt;=80000,"Upper Middle","High Income"))))</f>
        <v>Low Income</v>
      </c>
      <c r="F803">
        <v>2</v>
      </c>
      <c r="G803" t="s">
        <v>27</v>
      </c>
      <c r="H803" t="s">
        <v>42</v>
      </c>
      <c r="I803" t="s">
        <v>21</v>
      </c>
      <c r="J803">
        <v>0</v>
      </c>
      <c r="K803" t="s">
        <v>43</v>
      </c>
      <c r="L803" t="s">
        <v>23</v>
      </c>
      <c r="M803">
        <v>51</v>
      </c>
      <c r="N803" t="s">
        <v>38</v>
      </c>
      <c r="O803" t="s">
        <v>62</v>
      </c>
      <c r="P803" s="2">
        <v>7166.55</v>
      </c>
      <c r="Q803" t="s">
        <v>30</v>
      </c>
      <c r="R803" s="1">
        <v>44989</v>
      </c>
      <c r="S803" s="1"/>
    </row>
    <row r="804" spans="1:19" x14ac:dyDescent="0.3">
      <c r="A804">
        <v>20927</v>
      </c>
      <c r="B804" t="s">
        <v>35</v>
      </c>
      <c r="C804" t="s">
        <v>18</v>
      </c>
      <c r="D804">
        <v>20000</v>
      </c>
      <c r="E804" t="str">
        <f>IF(Sales_Data[[#This Row],[Income]]&lt;=20000,"Low Income",IF(Sales_Data[[#This Row],[Income]]&lt;=40000,"Lower Middle",IF(Sales_Data[[#This Row],[Income]]&lt;=60000,"Middle Income",IF(Sales_Data[[#This Row],[Income]]&lt;=80000,"Upper Middle","High Income"))))</f>
        <v>Low Income</v>
      </c>
      <c r="F804">
        <v>5</v>
      </c>
      <c r="G804" t="s">
        <v>45</v>
      </c>
      <c r="H804" t="s">
        <v>42</v>
      </c>
      <c r="I804" t="s">
        <v>21</v>
      </c>
      <c r="J804">
        <v>2</v>
      </c>
      <c r="K804" t="s">
        <v>22</v>
      </c>
      <c r="L804" t="s">
        <v>23</v>
      </c>
      <c r="M804">
        <v>27</v>
      </c>
      <c r="N804" t="s">
        <v>24</v>
      </c>
      <c r="O804" t="s">
        <v>55</v>
      </c>
      <c r="P804" s="2">
        <v>8779.67</v>
      </c>
      <c r="Q804" t="s">
        <v>56</v>
      </c>
      <c r="R804" s="1">
        <v>45194</v>
      </c>
      <c r="S804" s="1"/>
    </row>
    <row r="805" spans="1:19" x14ac:dyDescent="0.3">
      <c r="A805">
        <v>12231</v>
      </c>
      <c r="B805" t="s">
        <v>35</v>
      </c>
      <c r="C805" t="s">
        <v>18</v>
      </c>
      <c r="D805">
        <v>10000</v>
      </c>
      <c r="E805" t="str">
        <f>IF(Sales_Data[[#This Row],[Income]]&lt;=20000,"Low Income",IF(Sales_Data[[#This Row],[Income]]&lt;=40000,"Lower Middle",IF(Sales_Data[[#This Row],[Income]]&lt;=60000,"Middle Income",IF(Sales_Data[[#This Row],[Income]]&lt;=80000,"Upper Middle","High Income"))))</f>
        <v>Low Income</v>
      </c>
      <c r="F805">
        <v>2</v>
      </c>
      <c r="G805" t="s">
        <v>27</v>
      </c>
      <c r="H805" t="s">
        <v>42</v>
      </c>
      <c r="I805" t="s">
        <v>21</v>
      </c>
      <c r="J805">
        <v>0</v>
      </c>
      <c r="K805" t="s">
        <v>22</v>
      </c>
      <c r="L805" t="s">
        <v>23</v>
      </c>
      <c r="M805">
        <v>51</v>
      </c>
      <c r="N805" t="s">
        <v>38</v>
      </c>
      <c r="O805" t="s">
        <v>39</v>
      </c>
      <c r="P805" s="2">
        <v>6286.2</v>
      </c>
      <c r="Q805" t="s">
        <v>60</v>
      </c>
      <c r="R805" s="1">
        <v>45246</v>
      </c>
      <c r="S805" s="1"/>
    </row>
    <row r="806" spans="1:19" x14ac:dyDescent="0.3">
      <c r="A806">
        <v>25665</v>
      </c>
      <c r="B806" t="s">
        <v>35</v>
      </c>
      <c r="C806" t="s">
        <v>18</v>
      </c>
      <c r="D806">
        <v>20000</v>
      </c>
      <c r="E806" t="str">
        <f>IF(Sales_Data[[#This Row],[Income]]&lt;=20000,"Low Income",IF(Sales_Data[[#This Row],[Income]]&lt;=40000,"Lower Middle",IF(Sales_Data[[#This Row],[Income]]&lt;=60000,"Middle Income",IF(Sales_Data[[#This Row],[Income]]&lt;=80000,"Upper Middle","High Income"))))</f>
        <v>Low Income</v>
      </c>
      <c r="F806">
        <v>0</v>
      </c>
      <c r="G806" t="s">
        <v>45</v>
      </c>
      <c r="H806" t="s">
        <v>42</v>
      </c>
      <c r="I806" t="s">
        <v>32</v>
      </c>
      <c r="J806">
        <v>1</v>
      </c>
      <c r="K806" t="s">
        <v>43</v>
      </c>
      <c r="L806" t="s">
        <v>23</v>
      </c>
      <c r="M806">
        <v>28</v>
      </c>
      <c r="N806" t="s">
        <v>38</v>
      </c>
      <c r="O806" t="s">
        <v>47</v>
      </c>
      <c r="P806" s="2">
        <v>2801.53</v>
      </c>
      <c r="Q806" t="s">
        <v>56</v>
      </c>
      <c r="R806" s="1">
        <v>45197</v>
      </c>
      <c r="S806" s="1"/>
    </row>
    <row r="807" spans="1:19" x14ac:dyDescent="0.3">
      <c r="A807">
        <v>24061</v>
      </c>
      <c r="B807" t="s">
        <v>17</v>
      </c>
      <c r="C807" t="s">
        <v>17</v>
      </c>
      <c r="D807">
        <v>10000</v>
      </c>
      <c r="E807" t="str">
        <f>IF(Sales_Data[[#This Row],[Income]]&lt;=20000,"Low Income",IF(Sales_Data[[#This Row],[Income]]&lt;=40000,"Lower Middle",IF(Sales_Data[[#This Row],[Income]]&lt;=60000,"Middle Income",IF(Sales_Data[[#This Row],[Income]]&lt;=80000,"Upper Middle","High Income"))))</f>
        <v>Low Income</v>
      </c>
      <c r="F807">
        <v>4</v>
      </c>
      <c r="G807" t="s">
        <v>50</v>
      </c>
      <c r="H807" t="s">
        <v>42</v>
      </c>
      <c r="I807" t="s">
        <v>21</v>
      </c>
      <c r="J807">
        <v>1</v>
      </c>
      <c r="K807" t="s">
        <v>22</v>
      </c>
      <c r="L807" t="s">
        <v>23</v>
      </c>
      <c r="M807">
        <v>40</v>
      </c>
      <c r="N807" t="s">
        <v>24</v>
      </c>
      <c r="O807" t="s">
        <v>25</v>
      </c>
      <c r="P807" s="2">
        <v>7098.94</v>
      </c>
      <c r="Q807" t="s">
        <v>51</v>
      </c>
      <c r="R807" s="1">
        <v>45095</v>
      </c>
      <c r="S807" s="1"/>
    </row>
    <row r="808" spans="1:19" x14ac:dyDescent="0.3">
      <c r="A808">
        <v>26879</v>
      </c>
      <c r="B808" t="s">
        <v>35</v>
      </c>
      <c r="C808" t="s">
        <v>18</v>
      </c>
      <c r="D808">
        <v>20000</v>
      </c>
      <c r="E808" t="str">
        <f>IF(Sales_Data[[#This Row],[Income]]&lt;=20000,"Low Income",IF(Sales_Data[[#This Row],[Income]]&lt;=40000,"Lower Middle",IF(Sales_Data[[#This Row],[Income]]&lt;=60000,"Middle Income",IF(Sales_Data[[#This Row],[Income]]&lt;=80000,"Upper Middle","High Income"))))</f>
        <v>Low Income</v>
      </c>
      <c r="F808">
        <v>0</v>
      </c>
      <c r="G808" t="s">
        <v>45</v>
      </c>
      <c r="H808" t="s">
        <v>42</v>
      </c>
      <c r="I808" t="s">
        <v>32</v>
      </c>
      <c r="J808">
        <v>1</v>
      </c>
      <c r="K808" t="s">
        <v>33</v>
      </c>
      <c r="L808" t="s">
        <v>23</v>
      </c>
      <c r="M808">
        <v>30</v>
      </c>
      <c r="N808" t="s">
        <v>38</v>
      </c>
      <c r="O808" t="s">
        <v>39</v>
      </c>
      <c r="P808" s="2">
        <v>5869.73</v>
      </c>
      <c r="Q808" t="s">
        <v>56</v>
      </c>
      <c r="R808" s="1">
        <v>45195</v>
      </c>
      <c r="S808" s="1"/>
    </row>
    <row r="809" spans="1:19" x14ac:dyDescent="0.3">
      <c r="A809">
        <v>14545</v>
      </c>
      <c r="B809" t="s">
        <v>17</v>
      </c>
      <c r="C809" t="s">
        <v>18</v>
      </c>
      <c r="D809">
        <v>10000</v>
      </c>
      <c r="E809" t="str">
        <f>IF(Sales_Data[[#This Row],[Income]]&lt;=20000,"Low Income",IF(Sales_Data[[#This Row],[Income]]&lt;=40000,"Lower Middle",IF(Sales_Data[[#This Row],[Income]]&lt;=60000,"Middle Income",IF(Sales_Data[[#This Row],[Income]]&lt;=80000,"Upper Middle","High Income"))))</f>
        <v>Low Income</v>
      </c>
      <c r="F809">
        <v>2</v>
      </c>
      <c r="G809" t="s">
        <v>27</v>
      </c>
      <c r="H809" t="s">
        <v>42</v>
      </c>
      <c r="I809" t="s">
        <v>21</v>
      </c>
      <c r="J809">
        <v>0</v>
      </c>
      <c r="K809" t="s">
        <v>43</v>
      </c>
      <c r="L809" t="s">
        <v>23</v>
      </c>
      <c r="M809">
        <v>49</v>
      </c>
      <c r="N809" t="s">
        <v>38</v>
      </c>
      <c r="O809" t="s">
        <v>41</v>
      </c>
      <c r="P809" s="2">
        <v>7200.19</v>
      </c>
      <c r="Q809" t="s">
        <v>30</v>
      </c>
      <c r="R809" s="1">
        <v>45016</v>
      </c>
      <c r="S809" s="1"/>
    </row>
    <row r="810" spans="1:19" x14ac:dyDescent="0.3">
      <c r="A810">
        <v>24201</v>
      </c>
      <c r="B810" t="s">
        <v>17</v>
      </c>
      <c r="C810" t="s">
        <v>18</v>
      </c>
      <c r="D810">
        <v>10000</v>
      </c>
      <c r="E810" t="str">
        <f>IF(Sales_Data[[#This Row],[Income]]&lt;=20000,"Low Income",IF(Sales_Data[[#This Row],[Income]]&lt;=40000,"Lower Middle",IF(Sales_Data[[#This Row],[Income]]&lt;=60000,"Middle Income",IF(Sales_Data[[#This Row],[Income]]&lt;=80000,"Upper Middle","High Income"))))</f>
        <v>Low Income</v>
      </c>
      <c r="F810">
        <v>2</v>
      </c>
      <c r="G810" t="s">
        <v>45</v>
      </c>
      <c r="H810" t="s">
        <v>42</v>
      </c>
      <c r="I810" t="s">
        <v>21</v>
      </c>
      <c r="J810">
        <v>0</v>
      </c>
      <c r="K810" t="s">
        <v>22</v>
      </c>
      <c r="L810" t="s">
        <v>23</v>
      </c>
      <c r="M810">
        <v>37</v>
      </c>
      <c r="N810" t="s">
        <v>24</v>
      </c>
      <c r="O810" t="s">
        <v>55</v>
      </c>
      <c r="P810" s="2">
        <v>3663.06</v>
      </c>
      <c r="Q810" t="s">
        <v>26</v>
      </c>
      <c r="R810" s="1">
        <v>45261</v>
      </c>
      <c r="S810" s="1"/>
    </row>
    <row r="811" spans="1:19" x14ac:dyDescent="0.3">
      <c r="A811">
        <v>14804</v>
      </c>
      <c r="B811" t="s">
        <v>35</v>
      </c>
      <c r="C811" t="s">
        <v>18</v>
      </c>
      <c r="D811">
        <v>10000</v>
      </c>
      <c r="E811" t="str">
        <f>IF(Sales_Data[[#This Row],[Income]]&lt;=20000,"Low Income",IF(Sales_Data[[#This Row],[Income]]&lt;=40000,"Lower Middle",IF(Sales_Data[[#This Row],[Income]]&lt;=60000,"Middle Income",IF(Sales_Data[[#This Row],[Income]]&lt;=80000,"Upper Middle","High Income"))))</f>
        <v>Low Income</v>
      </c>
      <c r="F811">
        <v>3</v>
      </c>
      <c r="G811" t="s">
        <v>50</v>
      </c>
      <c r="H811" t="s">
        <v>42</v>
      </c>
      <c r="I811" t="s">
        <v>21</v>
      </c>
      <c r="J811">
        <v>2</v>
      </c>
      <c r="K811" t="s">
        <v>22</v>
      </c>
      <c r="L811" t="s">
        <v>23</v>
      </c>
      <c r="M811">
        <v>43</v>
      </c>
      <c r="N811" t="s">
        <v>24</v>
      </c>
      <c r="O811" t="s">
        <v>49</v>
      </c>
      <c r="P811" s="2">
        <v>3498.62</v>
      </c>
      <c r="Q811" t="s">
        <v>56</v>
      </c>
      <c r="R811" s="1">
        <v>45196</v>
      </c>
      <c r="S811" s="1"/>
    </row>
    <row r="812" spans="1:19" x14ac:dyDescent="0.3">
      <c r="A812">
        <v>12629</v>
      </c>
      <c r="B812" t="s">
        <v>35</v>
      </c>
      <c r="C812" t="s">
        <v>17</v>
      </c>
      <c r="D812">
        <v>20000</v>
      </c>
      <c r="E812" t="str">
        <f>IF(Sales_Data[[#This Row],[Income]]&lt;=20000,"Low Income",IF(Sales_Data[[#This Row],[Income]]&lt;=40000,"Lower Middle",IF(Sales_Data[[#This Row],[Income]]&lt;=60000,"Middle Income",IF(Sales_Data[[#This Row],[Income]]&lt;=80000,"Upper Middle","High Income"))))</f>
        <v>Low Income</v>
      </c>
      <c r="F812">
        <v>1</v>
      </c>
      <c r="G812" t="s">
        <v>27</v>
      </c>
      <c r="H812" t="s">
        <v>42</v>
      </c>
      <c r="I812" t="s">
        <v>32</v>
      </c>
      <c r="J812">
        <v>0</v>
      </c>
      <c r="K812" t="s">
        <v>22</v>
      </c>
      <c r="L812" t="s">
        <v>23</v>
      </c>
      <c r="M812">
        <v>37</v>
      </c>
      <c r="N812" t="s">
        <v>24</v>
      </c>
      <c r="O812" t="s">
        <v>25</v>
      </c>
      <c r="P812" s="2">
        <v>3361.07</v>
      </c>
      <c r="Q812" t="s">
        <v>59</v>
      </c>
      <c r="R812" s="1">
        <v>45036</v>
      </c>
      <c r="S812" s="1"/>
    </row>
    <row r="813" spans="1:19" x14ac:dyDescent="0.3">
      <c r="A813">
        <v>14696</v>
      </c>
      <c r="B813" t="s">
        <v>35</v>
      </c>
      <c r="C813" t="s">
        <v>17</v>
      </c>
      <c r="D813">
        <v>10000</v>
      </c>
      <c r="E813" t="str">
        <f>IF(Sales_Data[[#This Row],[Income]]&lt;=20000,"Low Income",IF(Sales_Data[[#This Row],[Income]]&lt;=40000,"Lower Middle",IF(Sales_Data[[#This Row],[Income]]&lt;=60000,"Middle Income",IF(Sales_Data[[#This Row],[Income]]&lt;=80000,"Upper Middle","High Income"))))</f>
        <v>Low Income</v>
      </c>
      <c r="F813">
        <v>0</v>
      </c>
      <c r="G813" t="s">
        <v>50</v>
      </c>
      <c r="H813" t="s">
        <v>42</v>
      </c>
      <c r="I813" t="s">
        <v>32</v>
      </c>
      <c r="J813">
        <v>2</v>
      </c>
      <c r="K813" t="s">
        <v>22</v>
      </c>
      <c r="L813" t="s">
        <v>23</v>
      </c>
      <c r="M813">
        <v>34</v>
      </c>
      <c r="N813" t="s">
        <v>38</v>
      </c>
      <c r="O813" t="s">
        <v>41</v>
      </c>
      <c r="P813" s="2">
        <v>1555.41</v>
      </c>
      <c r="Q813" t="s">
        <v>26</v>
      </c>
      <c r="R813" s="1">
        <v>45290</v>
      </c>
      <c r="S813" s="1"/>
    </row>
    <row r="814" spans="1:19" x14ac:dyDescent="0.3">
      <c r="A814">
        <v>14544</v>
      </c>
      <c r="B814" t="s">
        <v>35</v>
      </c>
      <c r="C814" t="s">
        <v>17</v>
      </c>
      <c r="D814">
        <v>10000</v>
      </c>
      <c r="E814" t="str">
        <f>IF(Sales_Data[[#This Row],[Income]]&lt;=20000,"Low Income",IF(Sales_Data[[#This Row],[Income]]&lt;=40000,"Lower Middle",IF(Sales_Data[[#This Row],[Income]]&lt;=60000,"Middle Income",IF(Sales_Data[[#This Row],[Income]]&lt;=80000,"Upper Middle","High Income"))))</f>
        <v>Low Income</v>
      </c>
      <c r="F814">
        <v>1</v>
      </c>
      <c r="G814" t="s">
        <v>27</v>
      </c>
      <c r="H814" t="s">
        <v>42</v>
      </c>
      <c r="I814" t="s">
        <v>21</v>
      </c>
      <c r="J814">
        <v>0</v>
      </c>
      <c r="K814" t="s">
        <v>22</v>
      </c>
      <c r="L814" t="s">
        <v>23</v>
      </c>
      <c r="M814">
        <v>49</v>
      </c>
      <c r="N814" t="s">
        <v>38</v>
      </c>
      <c r="O814" t="s">
        <v>41</v>
      </c>
      <c r="P814" s="2">
        <v>5576.33</v>
      </c>
      <c r="Q814" t="s">
        <v>58</v>
      </c>
      <c r="R814" s="1">
        <v>45138</v>
      </c>
      <c r="S814" s="1"/>
    </row>
    <row r="815" spans="1:19" x14ac:dyDescent="0.3">
      <c r="A815">
        <v>11378</v>
      </c>
      <c r="B815" t="s">
        <v>35</v>
      </c>
      <c r="C815" t="s">
        <v>18</v>
      </c>
      <c r="D815">
        <v>10000</v>
      </c>
      <c r="E815" t="str">
        <f>IF(Sales_Data[[#This Row],[Income]]&lt;=20000,"Low Income",IF(Sales_Data[[#This Row],[Income]]&lt;=40000,"Lower Middle",IF(Sales_Data[[#This Row],[Income]]&lt;=60000,"Middle Income",IF(Sales_Data[[#This Row],[Income]]&lt;=80000,"Upper Middle","High Income"))))</f>
        <v>Low Income</v>
      </c>
      <c r="F815">
        <v>1</v>
      </c>
      <c r="G815" t="s">
        <v>45</v>
      </c>
      <c r="H815" t="s">
        <v>42</v>
      </c>
      <c r="I815" t="s">
        <v>32</v>
      </c>
      <c r="J815">
        <v>1</v>
      </c>
      <c r="K815" t="s">
        <v>33</v>
      </c>
      <c r="L815" t="s">
        <v>23</v>
      </c>
      <c r="M815">
        <v>46</v>
      </c>
      <c r="N815" t="s">
        <v>38</v>
      </c>
      <c r="O815" t="s">
        <v>54</v>
      </c>
      <c r="P815" s="2">
        <v>7298.29</v>
      </c>
      <c r="Q815" t="s">
        <v>30</v>
      </c>
      <c r="R815" s="1">
        <v>45015</v>
      </c>
      <c r="S815" s="1"/>
    </row>
    <row r="816" spans="1:19" x14ac:dyDescent="0.3">
      <c r="A816">
        <v>20851</v>
      </c>
      <c r="B816" t="s">
        <v>35</v>
      </c>
      <c r="C816" t="s">
        <v>17</v>
      </c>
      <c r="D816">
        <v>20000</v>
      </c>
      <c r="E816" t="str">
        <f>IF(Sales_Data[[#This Row],[Income]]&lt;=20000,"Low Income",IF(Sales_Data[[#This Row],[Income]]&lt;=40000,"Lower Middle",IF(Sales_Data[[#This Row],[Income]]&lt;=60000,"Middle Income",IF(Sales_Data[[#This Row],[Income]]&lt;=80000,"Upper Middle","High Income"))))</f>
        <v>Low Income</v>
      </c>
      <c r="F816">
        <v>0</v>
      </c>
      <c r="G816" t="s">
        <v>27</v>
      </c>
      <c r="H816" t="s">
        <v>42</v>
      </c>
      <c r="I816" t="s">
        <v>32</v>
      </c>
      <c r="J816">
        <v>1</v>
      </c>
      <c r="K816" t="s">
        <v>33</v>
      </c>
      <c r="L816" t="s">
        <v>23</v>
      </c>
      <c r="M816">
        <v>36</v>
      </c>
      <c r="N816" t="s">
        <v>38</v>
      </c>
      <c r="O816" t="s">
        <v>62</v>
      </c>
      <c r="P816" s="2">
        <v>5292.29</v>
      </c>
      <c r="Q816" t="s">
        <v>52</v>
      </c>
      <c r="R816" s="1">
        <v>44965</v>
      </c>
      <c r="S816" s="1"/>
    </row>
    <row r="817" spans="1:19" x14ac:dyDescent="0.3">
      <c r="A817">
        <v>25906</v>
      </c>
      <c r="B817" t="s">
        <v>35</v>
      </c>
      <c r="C817" t="s">
        <v>18</v>
      </c>
      <c r="D817">
        <v>10000</v>
      </c>
      <c r="E817" t="str">
        <f>IF(Sales_Data[[#This Row],[Income]]&lt;=20000,"Low Income",IF(Sales_Data[[#This Row],[Income]]&lt;=40000,"Lower Middle",IF(Sales_Data[[#This Row],[Income]]&lt;=60000,"Middle Income",IF(Sales_Data[[#This Row],[Income]]&lt;=80000,"Upper Middle","High Income"))))</f>
        <v>Low Income</v>
      </c>
      <c r="F817">
        <v>5</v>
      </c>
      <c r="G817" t="s">
        <v>45</v>
      </c>
      <c r="H817" t="s">
        <v>20</v>
      </c>
      <c r="I817" t="s">
        <v>32</v>
      </c>
      <c r="J817">
        <v>2</v>
      </c>
      <c r="K817" t="s">
        <v>43</v>
      </c>
      <c r="L817" t="s">
        <v>37</v>
      </c>
      <c r="M817">
        <v>62</v>
      </c>
      <c r="N817" t="s">
        <v>38</v>
      </c>
      <c r="O817" t="s">
        <v>62</v>
      </c>
      <c r="P817" s="2">
        <v>6628.82</v>
      </c>
      <c r="Q817" t="s">
        <v>58</v>
      </c>
      <c r="R817" s="1">
        <v>45110</v>
      </c>
      <c r="S817" s="1"/>
    </row>
    <row r="818" spans="1:19" x14ac:dyDescent="0.3">
      <c r="A818">
        <v>25923</v>
      </c>
      <c r="B818" t="s">
        <v>35</v>
      </c>
      <c r="C818" t="s">
        <v>17</v>
      </c>
      <c r="D818">
        <v>10000</v>
      </c>
      <c r="E818" t="str">
        <f>IF(Sales_Data[[#This Row],[Income]]&lt;=20000,"Low Income",IF(Sales_Data[[#This Row],[Income]]&lt;=40000,"Lower Middle",IF(Sales_Data[[#This Row],[Income]]&lt;=60000,"Middle Income",IF(Sales_Data[[#This Row],[Income]]&lt;=80000,"Upper Middle","High Income"))))</f>
        <v>Low Income</v>
      </c>
      <c r="F818">
        <v>2</v>
      </c>
      <c r="G818" t="s">
        <v>50</v>
      </c>
      <c r="H818" t="s">
        <v>28</v>
      </c>
      <c r="I818" t="s">
        <v>21</v>
      </c>
      <c r="J818">
        <v>2</v>
      </c>
      <c r="K818" t="s">
        <v>36</v>
      </c>
      <c r="L818" t="s">
        <v>37</v>
      </c>
      <c r="M818">
        <v>58</v>
      </c>
      <c r="N818" t="s">
        <v>24</v>
      </c>
      <c r="O818" t="s">
        <v>25</v>
      </c>
      <c r="P818" s="2">
        <v>6918.43</v>
      </c>
      <c r="Q818" t="s">
        <v>40</v>
      </c>
      <c r="R818" s="1">
        <v>45059</v>
      </c>
      <c r="S818" s="1"/>
    </row>
    <row r="819" spans="1:19" x14ac:dyDescent="0.3">
      <c r="A819">
        <v>20974</v>
      </c>
      <c r="B819" t="s">
        <v>17</v>
      </c>
      <c r="C819" t="s">
        <v>17</v>
      </c>
      <c r="D819">
        <v>10000</v>
      </c>
      <c r="E819" t="str">
        <f>IF(Sales_Data[[#This Row],[Income]]&lt;=20000,"Low Income",IF(Sales_Data[[#This Row],[Income]]&lt;=40000,"Lower Middle",IF(Sales_Data[[#This Row],[Income]]&lt;=60000,"Middle Income",IF(Sales_Data[[#This Row],[Income]]&lt;=80000,"Upper Middle","High Income"))))</f>
        <v>Low Income</v>
      </c>
      <c r="F819">
        <v>2</v>
      </c>
      <c r="G819" t="s">
        <v>19</v>
      </c>
      <c r="H819" t="s">
        <v>28</v>
      </c>
      <c r="I819" t="s">
        <v>21</v>
      </c>
      <c r="J819">
        <v>1</v>
      </c>
      <c r="K819" t="s">
        <v>22</v>
      </c>
      <c r="L819" t="s">
        <v>23</v>
      </c>
      <c r="M819">
        <v>66</v>
      </c>
      <c r="N819" t="s">
        <v>24</v>
      </c>
      <c r="O819" t="s">
        <v>34</v>
      </c>
      <c r="P819" s="2">
        <v>3989.82</v>
      </c>
      <c r="Q819" t="s">
        <v>44</v>
      </c>
      <c r="R819" s="1">
        <v>44933</v>
      </c>
      <c r="S819" s="1"/>
    </row>
    <row r="820" spans="1:19" x14ac:dyDescent="0.3">
      <c r="A820">
        <v>11381</v>
      </c>
      <c r="B820" t="s">
        <v>17</v>
      </c>
      <c r="C820" t="s">
        <v>18</v>
      </c>
      <c r="D820">
        <v>20000</v>
      </c>
      <c r="E820" t="str">
        <f>IF(Sales_Data[[#This Row],[Income]]&lt;=20000,"Low Income",IF(Sales_Data[[#This Row],[Income]]&lt;=40000,"Lower Middle",IF(Sales_Data[[#This Row],[Income]]&lt;=60000,"Middle Income",IF(Sales_Data[[#This Row],[Income]]&lt;=80000,"Upper Middle","High Income"))))</f>
        <v>Low Income</v>
      </c>
      <c r="F820">
        <v>2</v>
      </c>
      <c r="G820" t="s">
        <v>27</v>
      </c>
      <c r="H820" t="s">
        <v>42</v>
      </c>
      <c r="I820" t="s">
        <v>21</v>
      </c>
      <c r="J820">
        <v>1</v>
      </c>
      <c r="K820" t="s">
        <v>33</v>
      </c>
      <c r="L820" t="s">
        <v>23</v>
      </c>
      <c r="M820">
        <v>47</v>
      </c>
      <c r="N820" t="s">
        <v>38</v>
      </c>
      <c r="O820" t="s">
        <v>47</v>
      </c>
      <c r="P820" s="2">
        <v>1329.94</v>
      </c>
      <c r="Q820" t="s">
        <v>56</v>
      </c>
      <c r="R820" s="1">
        <v>45190</v>
      </c>
      <c r="S820" s="1"/>
    </row>
    <row r="821" spans="1:19" x14ac:dyDescent="0.3">
      <c r="A821">
        <v>28102</v>
      </c>
      <c r="B821" t="s">
        <v>17</v>
      </c>
      <c r="C821" t="s">
        <v>17</v>
      </c>
      <c r="D821">
        <v>20000</v>
      </c>
      <c r="E821" t="str">
        <f>IF(Sales_Data[[#This Row],[Income]]&lt;=20000,"Low Income",IF(Sales_Data[[#This Row],[Income]]&lt;=40000,"Lower Middle",IF(Sales_Data[[#This Row],[Income]]&lt;=60000,"Middle Income",IF(Sales_Data[[#This Row],[Income]]&lt;=80000,"Upper Middle","High Income"))))</f>
        <v>Low Income</v>
      </c>
      <c r="F821">
        <v>4</v>
      </c>
      <c r="G821" t="s">
        <v>45</v>
      </c>
      <c r="H821" t="s">
        <v>20</v>
      </c>
      <c r="I821" t="s">
        <v>21</v>
      </c>
      <c r="J821">
        <v>2</v>
      </c>
      <c r="K821" t="s">
        <v>36</v>
      </c>
      <c r="L821" t="s">
        <v>37</v>
      </c>
      <c r="M821">
        <v>58</v>
      </c>
      <c r="N821" t="s">
        <v>24</v>
      </c>
      <c r="O821" t="s">
        <v>34</v>
      </c>
      <c r="P821" s="2">
        <v>6361.68</v>
      </c>
      <c r="Q821" t="s">
        <v>52</v>
      </c>
      <c r="R821" s="1">
        <v>44979</v>
      </c>
      <c r="S821" s="1"/>
    </row>
    <row r="822" spans="1:19" x14ac:dyDescent="0.3">
      <c r="A822">
        <v>16410</v>
      </c>
      <c r="B822" t="s">
        <v>35</v>
      </c>
      <c r="C822" t="s">
        <v>18</v>
      </c>
      <c r="D822">
        <v>10000</v>
      </c>
      <c r="E822" t="str">
        <f>IF(Sales_Data[[#This Row],[Income]]&lt;=20000,"Low Income",IF(Sales_Data[[#This Row],[Income]]&lt;=40000,"Lower Middle",IF(Sales_Data[[#This Row],[Income]]&lt;=60000,"Middle Income",IF(Sales_Data[[#This Row],[Income]]&lt;=80000,"Upper Middle","High Income"))))</f>
        <v>Low Income</v>
      </c>
      <c r="F822">
        <v>4</v>
      </c>
      <c r="G822" t="s">
        <v>50</v>
      </c>
      <c r="H822" t="s">
        <v>42</v>
      </c>
      <c r="I822" t="s">
        <v>21</v>
      </c>
      <c r="J822">
        <v>2</v>
      </c>
      <c r="K822" t="s">
        <v>22</v>
      </c>
      <c r="L822" t="s">
        <v>23</v>
      </c>
      <c r="M822">
        <v>41</v>
      </c>
      <c r="N822" t="s">
        <v>24</v>
      </c>
      <c r="O822" t="s">
        <v>55</v>
      </c>
      <c r="P822" s="2">
        <v>8589.58</v>
      </c>
      <c r="Q822" t="s">
        <v>60</v>
      </c>
      <c r="R822" s="1">
        <v>45254</v>
      </c>
      <c r="S822" s="1"/>
    </row>
    <row r="823" spans="1:19" x14ac:dyDescent="0.3">
      <c r="A823">
        <v>20994</v>
      </c>
      <c r="B823" t="s">
        <v>17</v>
      </c>
      <c r="C823" t="s">
        <v>18</v>
      </c>
      <c r="D823">
        <v>20000</v>
      </c>
      <c r="E823" t="str">
        <f>IF(Sales_Data[[#This Row],[Income]]&lt;=20000,"Low Income",IF(Sales_Data[[#This Row],[Income]]&lt;=40000,"Lower Middle",IF(Sales_Data[[#This Row],[Income]]&lt;=60000,"Middle Income",IF(Sales_Data[[#This Row],[Income]]&lt;=80000,"Upper Middle","High Income"))))</f>
        <v>Low Income</v>
      </c>
      <c r="F823">
        <v>0</v>
      </c>
      <c r="G823" t="s">
        <v>19</v>
      </c>
      <c r="H823" t="s">
        <v>28</v>
      </c>
      <c r="I823" t="s">
        <v>32</v>
      </c>
      <c r="J823">
        <v>0</v>
      </c>
      <c r="K823" t="s">
        <v>22</v>
      </c>
      <c r="L823" t="s">
        <v>37</v>
      </c>
      <c r="M823">
        <v>26</v>
      </c>
      <c r="N823" t="s">
        <v>24</v>
      </c>
      <c r="O823" t="s">
        <v>34</v>
      </c>
      <c r="P823" s="2">
        <v>6182.78</v>
      </c>
      <c r="Q823" t="s">
        <v>30</v>
      </c>
      <c r="R823" s="1">
        <v>44990</v>
      </c>
      <c r="S823" s="1"/>
    </row>
    <row r="824" spans="1:19" x14ac:dyDescent="0.3">
      <c r="A824">
        <v>19508</v>
      </c>
      <c r="B824" t="s">
        <v>17</v>
      </c>
      <c r="C824" t="s">
        <v>17</v>
      </c>
      <c r="D824">
        <v>10000</v>
      </c>
      <c r="E824" t="str">
        <f>IF(Sales_Data[[#This Row],[Income]]&lt;=20000,"Low Income",IF(Sales_Data[[#This Row],[Income]]&lt;=40000,"Lower Middle",IF(Sales_Data[[#This Row],[Income]]&lt;=60000,"Middle Income",IF(Sales_Data[[#This Row],[Income]]&lt;=80000,"Upper Middle","High Income"))))</f>
        <v>Low Income</v>
      </c>
      <c r="F824">
        <v>0</v>
      </c>
      <c r="G824" t="s">
        <v>50</v>
      </c>
      <c r="H824" t="s">
        <v>42</v>
      </c>
      <c r="I824" t="s">
        <v>32</v>
      </c>
      <c r="J824">
        <v>2</v>
      </c>
      <c r="K824" t="s">
        <v>22</v>
      </c>
      <c r="L824" t="s">
        <v>23</v>
      </c>
      <c r="M824">
        <v>30</v>
      </c>
      <c r="N824" t="s">
        <v>38</v>
      </c>
      <c r="O824" t="s">
        <v>39</v>
      </c>
      <c r="P824" s="2">
        <v>3301.04</v>
      </c>
      <c r="Q824" t="s">
        <v>40</v>
      </c>
      <c r="R824" s="1">
        <v>45072</v>
      </c>
      <c r="S824" s="1"/>
    </row>
    <row r="825" spans="1:19" x14ac:dyDescent="0.3">
      <c r="A825">
        <v>11489</v>
      </c>
      <c r="B825" t="s">
        <v>35</v>
      </c>
      <c r="C825" t="s">
        <v>18</v>
      </c>
      <c r="D825">
        <v>20000</v>
      </c>
      <c r="E825" t="str">
        <f>IF(Sales_Data[[#This Row],[Income]]&lt;=20000,"Low Income",IF(Sales_Data[[#This Row],[Income]]&lt;=40000,"Lower Middle",IF(Sales_Data[[#This Row],[Income]]&lt;=60000,"Middle Income",IF(Sales_Data[[#This Row],[Income]]&lt;=80000,"Upper Middle","High Income"))))</f>
        <v>Low Income</v>
      </c>
      <c r="F825">
        <v>0</v>
      </c>
      <c r="G825" t="s">
        <v>50</v>
      </c>
      <c r="H825" t="s">
        <v>42</v>
      </c>
      <c r="I825" t="s">
        <v>32</v>
      </c>
      <c r="J825">
        <v>2</v>
      </c>
      <c r="K825" t="s">
        <v>43</v>
      </c>
      <c r="L825" t="s">
        <v>23</v>
      </c>
      <c r="M825">
        <v>35</v>
      </c>
      <c r="N825" t="s">
        <v>24</v>
      </c>
      <c r="O825" t="s">
        <v>25</v>
      </c>
      <c r="P825" s="2">
        <v>6879.56</v>
      </c>
      <c r="Q825" t="s">
        <v>30</v>
      </c>
      <c r="R825" s="1">
        <v>44994</v>
      </c>
      <c r="S825" s="1"/>
    </row>
    <row r="826" spans="1:19" x14ac:dyDescent="0.3">
      <c r="A826">
        <v>27165</v>
      </c>
      <c r="B826" t="s">
        <v>35</v>
      </c>
      <c r="C826" t="s">
        <v>17</v>
      </c>
      <c r="D826">
        <v>20000</v>
      </c>
      <c r="E826" t="str">
        <f>IF(Sales_Data[[#This Row],[Income]]&lt;=20000,"Low Income",IF(Sales_Data[[#This Row],[Income]]&lt;=40000,"Lower Middle",IF(Sales_Data[[#This Row],[Income]]&lt;=60000,"Middle Income",IF(Sales_Data[[#This Row],[Income]]&lt;=80000,"Upper Middle","High Income"))))</f>
        <v>Low Income</v>
      </c>
      <c r="F826">
        <v>0</v>
      </c>
      <c r="G826" t="s">
        <v>50</v>
      </c>
      <c r="H826" t="s">
        <v>42</v>
      </c>
      <c r="I826" t="s">
        <v>32</v>
      </c>
      <c r="J826">
        <v>2</v>
      </c>
      <c r="K826" t="s">
        <v>22</v>
      </c>
      <c r="L826" t="s">
        <v>23</v>
      </c>
      <c r="M826">
        <v>34</v>
      </c>
      <c r="N826" t="s">
        <v>24</v>
      </c>
      <c r="O826" t="s">
        <v>29</v>
      </c>
      <c r="P826" s="2">
        <v>637.22</v>
      </c>
      <c r="Q826" t="s">
        <v>56</v>
      </c>
      <c r="R826" s="1">
        <v>45195</v>
      </c>
      <c r="S826" s="1"/>
    </row>
    <row r="827" spans="1:19" x14ac:dyDescent="0.3">
      <c r="A827">
        <v>29424</v>
      </c>
      <c r="B827" t="s">
        <v>17</v>
      </c>
      <c r="C827" t="s">
        <v>17</v>
      </c>
      <c r="D827">
        <v>10000</v>
      </c>
      <c r="E827" t="str">
        <f>IF(Sales_Data[[#This Row],[Income]]&lt;=20000,"Low Income",IF(Sales_Data[[#This Row],[Income]]&lt;=40000,"Lower Middle",IF(Sales_Data[[#This Row],[Income]]&lt;=60000,"Middle Income",IF(Sales_Data[[#This Row],[Income]]&lt;=80000,"Upper Middle","High Income"))))</f>
        <v>Low Income</v>
      </c>
      <c r="F827">
        <v>0</v>
      </c>
      <c r="G827" t="s">
        <v>50</v>
      </c>
      <c r="H827" t="s">
        <v>42</v>
      </c>
      <c r="I827" t="s">
        <v>21</v>
      </c>
      <c r="J827">
        <v>2</v>
      </c>
      <c r="K827" t="s">
        <v>22</v>
      </c>
      <c r="L827" t="s">
        <v>23</v>
      </c>
      <c r="M827">
        <v>32</v>
      </c>
      <c r="N827" t="s">
        <v>24</v>
      </c>
      <c r="O827" t="s">
        <v>29</v>
      </c>
      <c r="P827" s="2">
        <v>9367.89</v>
      </c>
      <c r="Q827" t="s">
        <v>52</v>
      </c>
      <c r="R827" s="1">
        <v>44967</v>
      </c>
      <c r="S827" s="1"/>
    </row>
    <row r="828" spans="1:19" x14ac:dyDescent="0.3">
      <c r="A828">
        <v>14554</v>
      </c>
      <c r="B828" t="s">
        <v>17</v>
      </c>
      <c r="C828" t="s">
        <v>17</v>
      </c>
      <c r="D828">
        <v>20000</v>
      </c>
      <c r="E828" t="str">
        <f>IF(Sales_Data[[#This Row],[Income]]&lt;=20000,"Low Income",IF(Sales_Data[[#This Row],[Income]]&lt;=40000,"Lower Middle",IF(Sales_Data[[#This Row],[Income]]&lt;=60000,"Middle Income",IF(Sales_Data[[#This Row],[Income]]&lt;=80000,"Upper Middle","High Income"))))</f>
        <v>Low Income</v>
      </c>
      <c r="F828">
        <v>1</v>
      </c>
      <c r="G828" t="s">
        <v>19</v>
      </c>
      <c r="H828" t="s">
        <v>28</v>
      </c>
      <c r="I828" t="s">
        <v>21</v>
      </c>
      <c r="J828">
        <v>0</v>
      </c>
      <c r="K828" t="s">
        <v>22</v>
      </c>
      <c r="L828" t="s">
        <v>23</v>
      </c>
      <c r="M828">
        <v>66</v>
      </c>
      <c r="N828" t="s">
        <v>24</v>
      </c>
      <c r="O828" t="s">
        <v>49</v>
      </c>
      <c r="P828" s="2">
        <v>1592.13</v>
      </c>
      <c r="Q828" t="s">
        <v>44</v>
      </c>
      <c r="R828" s="1">
        <v>44952</v>
      </c>
      <c r="S828" s="1"/>
    </row>
    <row r="829" spans="1:19" x14ac:dyDescent="0.3">
      <c r="A829">
        <v>19183</v>
      </c>
      <c r="B829" t="s">
        <v>35</v>
      </c>
      <c r="C829" t="s">
        <v>17</v>
      </c>
      <c r="D829">
        <v>10000</v>
      </c>
      <c r="E829" t="str">
        <f>IF(Sales_Data[[#This Row],[Income]]&lt;=20000,"Low Income",IF(Sales_Data[[#This Row],[Income]]&lt;=40000,"Lower Middle",IF(Sales_Data[[#This Row],[Income]]&lt;=60000,"Middle Income",IF(Sales_Data[[#This Row],[Income]]&lt;=80000,"Upper Middle","High Income"))))</f>
        <v>Low Income</v>
      </c>
      <c r="F829">
        <v>0</v>
      </c>
      <c r="G829" t="s">
        <v>50</v>
      </c>
      <c r="H829" t="s">
        <v>42</v>
      </c>
      <c r="I829" t="s">
        <v>21</v>
      </c>
      <c r="J829">
        <v>2</v>
      </c>
      <c r="K829" t="s">
        <v>43</v>
      </c>
      <c r="L829" t="s">
        <v>23</v>
      </c>
      <c r="M829">
        <v>35</v>
      </c>
      <c r="N829" t="s">
        <v>38</v>
      </c>
      <c r="O829" t="s">
        <v>41</v>
      </c>
      <c r="P829" s="2">
        <v>8524.9500000000007</v>
      </c>
      <c r="Q829" t="s">
        <v>58</v>
      </c>
      <c r="R829" s="1">
        <v>45133</v>
      </c>
      <c r="S829" s="1"/>
    </row>
    <row r="830" spans="1:19" x14ac:dyDescent="0.3">
      <c r="A830">
        <v>17894</v>
      </c>
      <c r="B830" t="s">
        <v>17</v>
      </c>
      <c r="C830" t="s">
        <v>18</v>
      </c>
      <c r="D830">
        <v>20000</v>
      </c>
      <c r="E830" t="str">
        <f>IF(Sales_Data[[#This Row],[Income]]&lt;=20000,"Low Income",IF(Sales_Data[[#This Row],[Income]]&lt;=40000,"Lower Middle",IF(Sales_Data[[#This Row],[Income]]&lt;=60000,"Middle Income",IF(Sales_Data[[#This Row],[Income]]&lt;=80000,"Upper Middle","High Income"))))</f>
        <v>Low Income</v>
      </c>
      <c r="F830">
        <v>1</v>
      </c>
      <c r="G830" t="s">
        <v>19</v>
      </c>
      <c r="H830" t="s">
        <v>28</v>
      </c>
      <c r="I830" t="s">
        <v>21</v>
      </c>
      <c r="J830">
        <v>0</v>
      </c>
      <c r="K830" t="s">
        <v>22</v>
      </c>
      <c r="L830" t="s">
        <v>23</v>
      </c>
      <c r="M830">
        <v>50</v>
      </c>
      <c r="N830" t="s">
        <v>24</v>
      </c>
      <c r="O830" t="s">
        <v>49</v>
      </c>
      <c r="P830" s="2">
        <v>4967.17</v>
      </c>
      <c r="Q830" t="s">
        <v>52</v>
      </c>
      <c r="R830" s="1">
        <v>44958</v>
      </c>
      <c r="S830" s="1"/>
    </row>
    <row r="831" spans="1:19" x14ac:dyDescent="0.3">
      <c r="A831">
        <v>23915</v>
      </c>
      <c r="B831" t="s">
        <v>17</v>
      </c>
      <c r="C831" t="s">
        <v>17</v>
      </c>
      <c r="D831">
        <v>20000</v>
      </c>
      <c r="E831" t="str">
        <f>IF(Sales_Data[[#This Row],[Income]]&lt;=20000,"Low Income",IF(Sales_Data[[#This Row],[Income]]&lt;=40000,"Lower Middle",IF(Sales_Data[[#This Row],[Income]]&lt;=60000,"Middle Income",IF(Sales_Data[[#This Row],[Income]]&lt;=80000,"Upper Middle","High Income"))))</f>
        <v>Low Income</v>
      </c>
      <c r="F831">
        <v>2</v>
      </c>
      <c r="G831" t="s">
        <v>45</v>
      </c>
      <c r="H831" t="s">
        <v>42</v>
      </c>
      <c r="I831" t="s">
        <v>21</v>
      </c>
      <c r="J831">
        <v>2</v>
      </c>
      <c r="K831" t="s">
        <v>22</v>
      </c>
      <c r="L831" t="s">
        <v>23</v>
      </c>
      <c r="M831">
        <v>42</v>
      </c>
      <c r="N831" t="s">
        <v>24</v>
      </c>
      <c r="O831" t="s">
        <v>55</v>
      </c>
      <c r="P831" s="2">
        <v>4162.2</v>
      </c>
      <c r="Q831" t="s">
        <v>40</v>
      </c>
      <c r="R831" s="1">
        <v>45064</v>
      </c>
      <c r="S831" s="1"/>
    </row>
    <row r="832" spans="1:19" x14ac:dyDescent="0.3">
      <c r="A832">
        <v>27878</v>
      </c>
      <c r="B832" t="s">
        <v>35</v>
      </c>
      <c r="C832" t="s">
        <v>17</v>
      </c>
      <c r="D832">
        <v>20000</v>
      </c>
      <c r="E832" t="str">
        <f>IF(Sales_Data[[#This Row],[Income]]&lt;=20000,"Low Income",IF(Sales_Data[[#This Row],[Income]]&lt;=40000,"Lower Middle",IF(Sales_Data[[#This Row],[Income]]&lt;=60000,"Middle Income",IF(Sales_Data[[#This Row],[Income]]&lt;=80000,"Upper Middle","High Income"))))</f>
        <v>Low Income</v>
      </c>
      <c r="F832">
        <v>0</v>
      </c>
      <c r="G832" t="s">
        <v>27</v>
      </c>
      <c r="H832" t="s">
        <v>42</v>
      </c>
      <c r="I832" t="s">
        <v>32</v>
      </c>
      <c r="J832">
        <v>0</v>
      </c>
      <c r="K832" t="s">
        <v>22</v>
      </c>
      <c r="L832" t="s">
        <v>37</v>
      </c>
      <c r="M832">
        <v>28</v>
      </c>
      <c r="N832" t="s">
        <v>24</v>
      </c>
      <c r="O832" t="s">
        <v>34</v>
      </c>
      <c r="P832" s="2">
        <v>4057.86</v>
      </c>
      <c r="Q832" t="s">
        <v>26</v>
      </c>
      <c r="R832" s="1">
        <v>45265</v>
      </c>
      <c r="S832" s="1"/>
    </row>
    <row r="833" spans="1:19" x14ac:dyDescent="0.3">
      <c r="A833">
        <v>13572</v>
      </c>
      <c r="B833" t="s">
        <v>35</v>
      </c>
      <c r="C833" t="s">
        <v>17</v>
      </c>
      <c r="D833">
        <v>10000</v>
      </c>
      <c r="E833" t="str">
        <f>IF(Sales_Data[[#This Row],[Income]]&lt;=20000,"Low Income",IF(Sales_Data[[#This Row],[Income]]&lt;=40000,"Lower Middle",IF(Sales_Data[[#This Row],[Income]]&lt;=60000,"Middle Income",IF(Sales_Data[[#This Row],[Income]]&lt;=80000,"Upper Middle","High Income"))))</f>
        <v>Low Income</v>
      </c>
      <c r="F833">
        <v>3</v>
      </c>
      <c r="G833" t="s">
        <v>45</v>
      </c>
      <c r="H833" t="s">
        <v>42</v>
      </c>
      <c r="I833" t="s">
        <v>21</v>
      </c>
      <c r="J833">
        <v>0</v>
      </c>
      <c r="K833" t="s">
        <v>22</v>
      </c>
      <c r="L833" t="s">
        <v>23</v>
      </c>
      <c r="M833">
        <v>37</v>
      </c>
      <c r="N833" t="s">
        <v>24</v>
      </c>
      <c r="O833" t="s">
        <v>49</v>
      </c>
      <c r="P833" s="2">
        <v>6881.39</v>
      </c>
      <c r="Q833" t="s">
        <v>44</v>
      </c>
      <c r="R833" s="1">
        <v>44927</v>
      </c>
      <c r="S833" s="1"/>
    </row>
    <row r="834" spans="1:19" x14ac:dyDescent="0.3">
      <c r="A834">
        <v>22538</v>
      </c>
      <c r="B834" t="s">
        <v>35</v>
      </c>
      <c r="C834" t="s">
        <v>18</v>
      </c>
      <c r="D834">
        <v>10000</v>
      </c>
      <c r="E834" t="str">
        <f>IF(Sales_Data[[#This Row],[Income]]&lt;=20000,"Low Income",IF(Sales_Data[[#This Row],[Income]]&lt;=40000,"Lower Middle",IF(Sales_Data[[#This Row],[Income]]&lt;=60000,"Middle Income",IF(Sales_Data[[#This Row],[Income]]&lt;=80000,"Upper Middle","High Income"))))</f>
        <v>Low Income</v>
      </c>
      <c r="F834">
        <v>0</v>
      </c>
      <c r="G834" t="s">
        <v>50</v>
      </c>
      <c r="H834" t="s">
        <v>42</v>
      </c>
      <c r="I834" t="s">
        <v>21</v>
      </c>
      <c r="J834">
        <v>2</v>
      </c>
      <c r="K834" t="s">
        <v>43</v>
      </c>
      <c r="L834" t="s">
        <v>23</v>
      </c>
      <c r="M834">
        <v>33</v>
      </c>
      <c r="N834" t="s">
        <v>38</v>
      </c>
      <c r="O834" t="s">
        <v>47</v>
      </c>
      <c r="P834" s="2">
        <v>124.57</v>
      </c>
      <c r="Q834" t="s">
        <v>44</v>
      </c>
      <c r="R834" s="1">
        <v>44938</v>
      </c>
      <c r="S834" s="1"/>
    </row>
    <row r="835" spans="1:19" x14ac:dyDescent="0.3">
      <c r="A835">
        <v>19305</v>
      </c>
      <c r="B835" t="s">
        <v>35</v>
      </c>
      <c r="C835" t="s">
        <v>18</v>
      </c>
      <c r="D835">
        <v>10000</v>
      </c>
      <c r="E835" t="str">
        <f>IF(Sales_Data[[#This Row],[Income]]&lt;=20000,"Low Income",IF(Sales_Data[[#This Row],[Income]]&lt;=40000,"Lower Middle",IF(Sales_Data[[#This Row],[Income]]&lt;=60000,"Middle Income",IF(Sales_Data[[#This Row],[Income]]&lt;=80000,"Upper Middle","High Income"))))</f>
        <v>Low Income</v>
      </c>
      <c r="F835">
        <v>2</v>
      </c>
      <c r="G835" t="s">
        <v>45</v>
      </c>
      <c r="H835" t="s">
        <v>42</v>
      </c>
      <c r="I835" t="s">
        <v>21</v>
      </c>
      <c r="J835">
        <v>1</v>
      </c>
      <c r="K835" t="s">
        <v>22</v>
      </c>
      <c r="L835" t="s">
        <v>23</v>
      </c>
      <c r="M835">
        <v>38</v>
      </c>
      <c r="N835" t="s">
        <v>24</v>
      </c>
      <c r="O835" t="s">
        <v>49</v>
      </c>
      <c r="P835" s="2">
        <v>5869.93</v>
      </c>
      <c r="Q835" t="s">
        <v>59</v>
      </c>
      <c r="R835" s="1">
        <v>45022</v>
      </c>
      <c r="S835" s="1"/>
    </row>
    <row r="836" spans="1:19" x14ac:dyDescent="0.3">
      <c r="A836">
        <v>25752</v>
      </c>
      <c r="B836" t="s">
        <v>35</v>
      </c>
      <c r="C836" t="s">
        <v>18</v>
      </c>
      <c r="D836">
        <v>20000</v>
      </c>
      <c r="E836" t="str">
        <f>IF(Sales_Data[[#This Row],[Income]]&lt;=20000,"Low Income",IF(Sales_Data[[#This Row],[Income]]&lt;=40000,"Lower Middle",IF(Sales_Data[[#This Row],[Income]]&lt;=60000,"Middle Income",IF(Sales_Data[[#This Row],[Income]]&lt;=80000,"Upper Middle","High Income"))))</f>
        <v>Low Income</v>
      </c>
      <c r="F836">
        <v>2</v>
      </c>
      <c r="G836" t="s">
        <v>27</v>
      </c>
      <c r="H836" t="s">
        <v>42</v>
      </c>
      <c r="I836" t="s">
        <v>32</v>
      </c>
      <c r="J836">
        <v>1</v>
      </c>
      <c r="K836" t="s">
        <v>22</v>
      </c>
      <c r="L836" t="s">
        <v>23</v>
      </c>
      <c r="M836">
        <v>53</v>
      </c>
      <c r="N836" t="s">
        <v>24</v>
      </c>
      <c r="O836" t="s">
        <v>49</v>
      </c>
      <c r="P836" s="2">
        <v>4715.43</v>
      </c>
      <c r="Q836" t="s">
        <v>48</v>
      </c>
      <c r="R836" s="1">
        <v>45140</v>
      </c>
      <c r="S836" s="1"/>
    </row>
    <row r="837" spans="1:19" x14ac:dyDescent="0.3">
      <c r="A837">
        <v>25512</v>
      </c>
      <c r="B837" t="s">
        <v>35</v>
      </c>
      <c r="C837" t="s">
        <v>17</v>
      </c>
      <c r="D837">
        <v>20000</v>
      </c>
      <c r="E837" t="str">
        <f>IF(Sales_Data[[#This Row],[Income]]&lt;=20000,"Low Income",IF(Sales_Data[[#This Row],[Income]]&lt;=40000,"Lower Middle",IF(Sales_Data[[#This Row],[Income]]&lt;=60000,"Middle Income",IF(Sales_Data[[#This Row],[Income]]&lt;=80000,"Upper Middle","High Income"))))</f>
        <v>Low Income</v>
      </c>
      <c r="F837">
        <v>0</v>
      </c>
      <c r="G837" t="s">
        <v>45</v>
      </c>
      <c r="H837" t="s">
        <v>42</v>
      </c>
      <c r="I837" t="s">
        <v>32</v>
      </c>
      <c r="J837">
        <v>1</v>
      </c>
      <c r="K837" t="s">
        <v>33</v>
      </c>
      <c r="L837" t="s">
        <v>23</v>
      </c>
      <c r="M837">
        <v>30</v>
      </c>
      <c r="N837" t="s">
        <v>38</v>
      </c>
      <c r="O837" t="s">
        <v>54</v>
      </c>
      <c r="P837" s="2">
        <v>7871.78</v>
      </c>
      <c r="Q837" t="s">
        <v>59</v>
      </c>
      <c r="R837" s="1">
        <v>45035</v>
      </c>
      <c r="S837" s="1"/>
    </row>
    <row r="838" spans="1:19" x14ac:dyDescent="0.3">
      <c r="A838">
        <v>20977</v>
      </c>
      <c r="B838" t="s">
        <v>17</v>
      </c>
      <c r="C838" t="s">
        <v>17</v>
      </c>
      <c r="D838">
        <v>20000</v>
      </c>
      <c r="E838" t="str">
        <f>IF(Sales_Data[[#This Row],[Income]]&lt;=20000,"Low Income",IF(Sales_Data[[#This Row],[Income]]&lt;=40000,"Lower Middle",IF(Sales_Data[[#This Row],[Income]]&lt;=60000,"Middle Income",IF(Sales_Data[[#This Row],[Income]]&lt;=80000,"Upper Middle","High Income"))))</f>
        <v>Low Income</v>
      </c>
      <c r="F838">
        <v>1</v>
      </c>
      <c r="G838" t="s">
        <v>19</v>
      </c>
      <c r="H838" t="s">
        <v>28</v>
      </c>
      <c r="I838" t="s">
        <v>21</v>
      </c>
      <c r="J838">
        <v>0</v>
      </c>
      <c r="K838" t="s">
        <v>22</v>
      </c>
      <c r="L838" t="s">
        <v>23</v>
      </c>
      <c r="M838">
        <v>64</v>
      </c>
      <c r="N838" t="s">
        <v>24</v>
      </c>
      <c r="O838" t="s">
        <v>34</v>
      </c>
      <c r="P838" s="2">
        <v>2413.16</v>
      </c>
      <c r="Q838" t="s">
        <v>59</v>
      </c>
      <c r="R838" s="1">
        <v>45021</v>
      </c>
      <c r="S838" s="1"/>
    </row>
    <row r="839" spans="1:19" x14ac:dyDescent="0.3">
      <c r="A839">
        <v>12581</v>
      </c>
      <c r="B839" t="s">
        <v>35</v>
      </c>
      <c r="C839" t="s">
        <v>18</v>
      </c>
      <c r="D839">
        <v>10000</v>
      </c>
      <c r="E839" t="str">
        <f>IF(Sales_Data[[#This Row],[Income]]&lt;=20000,"Low Income",IF(Sales_Data[[#This Row],[Income]]&lt;=40000,"Lower Middle",IF(Sales_Data[[#This Row],[Income]]&lt;=60000,"Middle Income",IF(Sales_Data[[#This Row],[Income]]&lt;=80000,"Upper Middle","High Income"))))</f>
        <v>Low Income</v>
      </c>
      <c r="F839">
        <v>0</v>
      </c>
      <c r="G839" t="s">
        <v>27</v>
      </c>
      <c r="H839" t="s">
        <v>42</v>
      </c>
      <c r="I839" t="s">
        <v>32</v>
      </c>
      <c r="J839">
        <v>1</v>
      </c>
      <c r="K839" t="s">
        <v>22</v>
      </c>
      <c r="L839" t="s">
        <v>37</v>
      </c>
      <c r="M839">
        <v>28</v>
      </c>
      <c r="N839" t="s">
        <v>24</v>
      </c>
      <c r="O839" t="s">
        <v>55</v>
      </c>
      <c r="P839" s="2">
        <v>5971.42</v>
      </c>
      <c r="Q839" t="s">
        <v>60</v>
      </c>
      <c r="R839" s="1">
        <v>45240</v>
      </c>
      <c r="S839" s="1"/>
    </row>
    <row r="840" spans="1:19" x14ac:dyDescent="0.3">
      <c r="A840">
        <v>13690</v>
      </c>
      <c r="B840" t="s">
        <v>35</v>
      </c>
      <c r="C840" t="s">
        <v>18</v>
      </c>
      <c r="D840">
        <v>20000</v>
      </c>
      <c r="E840" t="str">
        <f>IF(Sales_Data[[#This Row],[Income]]&lt;=20000,"Low Income",IF(Sales_Data[[#This Row],[Income]]&lt;=40000,"Lower Middle",IF(Sales_Data[[#This Row],[Income]]&lt;=60000,"Middle Income",IF(Sales_Data[[#This Row],[Income]]&lt;=80000,"Upper Middle","High Income"))))</f>
        <v>Low Income</v>
      </c>
      <c r="F840">
        <v>0</v>
      </c>
      <c r="G840" t="s">
        <v>50</v>
      </c>
      <c r="H840" t="s">
        <v>42</v>
      </c>
      <c r="I840" t="s">
        <v>32</v>
      </c>
      <c r="J840">
        <v>2</v>
      </c>
      <c r="K840" t="s">
        <v>43</v>
      </c>
      <c r="L840" t="s">
        <v>23</v>
      </c>
      <c r="M840">
        <v>34</v>
      </c>
      <c r="N840" t="s">
        <v>24</v>
      </c>
      <c r="O840" t="s">
        <v>29</v>
      </c>
      <c r="P840" s="2">
        <v>2704.22</v>
      </c>
      <c r="Q840" t="s">
        <v>52</v>
      </c>
      <c r="R840" s="1">
        <v>44962</v>
      </c>
      <c r="S840" s="1"/>
    </row>
    <row r="841" spans="1:19" x14ac:dyDescent="0.3">
      <c r="A841">
        <v>24151</v>
      </c>
      <c r="B841" t="s">
        <v>35</v>
      </c>
      <c r="C841" t="s">
        <v>17</v>
      </c>
      <c r="D841">
        <v>20000</v>
      </c>
      <c r="E841" t="str">
        <f>IF(Sales_Data[[#This Row],[Income]]&lt;=20000,"Low Income",IF(Sales_Data[[#This Row],[Income]]&lt;=40000,"Lower Middle",IF(Sales_Data[[#This Row],[Income]]&lt;=60000,"Middle Income",IF(Sales_Data[[#This Row],[Income]]&lt;=80000,"Upper Middle","High Income"))))</f>
        <v>Low Income</v>
      </c>
      <c r="F841">
        <v>1</v>
      </c>
      <c r="G841" t="s">
        <v>19</v>
      </c>
      <c r="H841" t="s">
        <v>28</v>
      </c>
      <c r="I841" t="s">
        <v>32</v>
      </c>
      <c r="J841">
        <v>0</v>
      </c>
      <c r="K841" t="s">
        <v>22</v>
      </c>
      <c r="L841" t="s">
        <v>23</v>
      </c>
      <c r="M841">
        <v>51</v>
      </c>
      <c r="N841" t="s">
        <v>38</v>
      </c>
      <c r="O841" t="s">
        <v>54</v>
      </c>
      <c r="P841" s="2">
        <v>8166.61</v>
      </c>
      <c r="Q841" t="s">
        <v>26</v>
      </c>
      <c r="R841" s="1">
        <v>45288</v>
      </c>
      <c r="S841" s="1"/>
    </row>
    <row r="842" spans="1:19" x14ac:dyDescent="0.3">
      <c r="A842">
        <v>23962</v>
      </c>
      <c r="B842" t="s">
        <v>17</v>
      </c>
      <c r="C842" t="s">
        <v>18</v>
      </c>
      <c r="D842">
        <v>10000</v>
      </c>
      <c r="E842" t="str">
        <f>IF(Sales_Data[[#This Row],[Income]]&lt;=20000,"Low Income",IF(Sales_Data[[#This Row],[Income]]&lt;=40000,"Lower Middle",IF(Sales_Data[[#This Row],[Income]]&lt;=60000,"Middle Income",IF(Sales_Data[[#This Row],[Income]]&lt;=80000,"Upper Middle","High Income"))))</f>
        <v>Low Income</v>
      </c>
      <c r="F842">
        <v>0</v>
      </c>
      <c r="G842" t="s">
        <v>50</v>
      </c>
      <c r="H842" t="s">
        <v>42</v>
      </c>
      <c r="I842" t="s">
        <v>21</v>
      </c>
      <c r="J842">
        <v>2</v>
      </c>
      <c r="K842" t="s">
        <v>43</v>
      </c>
      <c r="L842" t="s">
        <v>23</v>
      </c>
      <c r="M842">
        <v>32</v>
      </c>
      <c r="N842" t="s">
        <v>24</v>
      </c>
      <c r="O842" t="s">
        <v>49</v>
      </c>
      <c r="P842" s="2">
        <v>2300.9699999999998</v>
      </c>
      <c r="Q842" t="s">
        <v>56</v>
      </c>
      <c r="R842" s="1">
        <v>45173</v>
      </c>
      <c r="S842" s="1"/>
    </row>
    <row r="843" spans="1:19" x14ac:dyDescent="0.3">
      <c r="A843">
        <v>21365</v>
      </c>
      <c r="B843" t="s">
        <v>17</v>
      </c>
      <c r="C843" t="s">
        <v>18</v>
      </c>
      <c r="D843">
        <v>10000</v>
      </c>
      <c r="E843" t="str">
        <f>IF(Sales_Data[[#This Row],[Income]]&lt;=20000,"Low Income",IF(Sales_Data[[#This Row],[Income]]&lt;=40000,"Lower Middle",IF(Sales_Data[[#This Row],[Income]]&lt;=60000,"Middle Income",IF(Sales_Data[[#This Row],[Income]]&lt;=80000,"Upper Middle","High Income"))))</f>
        <v>Low Income</v>
      </c>
      <c r="F843">
        <v>2</v>
      </c>
      <c r="G843" t="s">
        <v>50</v>
      </c>
      <c r="H843" t="s">
        <v>28</v>
      </c>
      <c r="I843" t="s">
        <v>21</v>
      </c>
      <c r="J843">
        <v>2</v>
      </c>
      <c r="K843" t="s">
        <v>36</v>
      </c>
      <c r="L843" t="s">
        <v>37</v>
      </c>
      <c r="M843">
        <v>58</v>
      </c>
      <c r="N843" t="s">
        <v>24</v>
      </c>
      <c r="O843" t="s">
        <v>34</v>
      </c>
      <c r="P843" s="2">
        <v>423.55</v>
      </c>
      <c r="Q843" t="s">
        <v>48</v>
      </c>
      <c r="R843" s="1">
        <v>45154</v>
      </c>
      <c r="S843" s="1"/>
    </row>
    <row r="844" spans="1:19" x14ac:dyDescent="0.3">
      <c r="A844">
        <v>22381</v>
      </c>
      <c r="B844" t="s">
        <v>17</v>
      </c>
      <c r="C844" t="s">
        <v>17</v>
      </c>
      <c r="D844">
        <v>10000</v>
      </c>
      <c r="E844" t="str">
        <f>IF(Sales_Data[[#This Row],[Income]]&lt;=20000,"Low Income",IF(Sales_Data[[#This Row],[Income]]&lt;=40000,"Lower Middle",IF(Sales_Data[[#This Row],[Income]]&lt;=60000,"Middle Income",IF(Sales_Data[[#This Row],[Income]]&lt;=80000,"Upper Middle","High Income"))))</f>
        <v>Low Income</v>
      </c>
      <c r="F844">
        <v>1</v>
      </c>
      <c r="G844" t="s">
        <v>61</v>
      </c>
      <c r="H844" t="s">
        <v>42</v>
      </c>
      <c r="I844" t="s">
        <v>21</v>
      </c>
      <c r="J844">
        <v>0</v>
      </c>
      <c r="K844" t="s">
        <v>22</v>
      </c>
      <c r="L844" t="s">
        <v>23</v>
      </c>
      <c r="M844">
        <v>44</v>
      </c>
      <c r="N844" t="s">
        <v>24</v>
      </c>
      <c r="O844" t="s">
        <v>55</v>
      </c>
      <c r="P844" s="2">
        <v>7744.13</v>
      </c>
      <c r="Q844" t="s">
        <v>57</v>
      </c>
      <c r="R844" s="1">
        <v>45212</v>
      </c>
      <c r="S844" s="1"/>
    </row>
    <row r="845" spans="1:19" x14ac:dyDescent="0.3">
      <c r="A845">
        <v>17882</v>
      </c>
      <c r="B845" t="s">
        <v>17</v>
      </c>
      <c r="C845" t="s">
        <v>17</v>
      </c>
      <c r="D845">
        <v>20000</v>
      </c>
      <c r="E845" t="str">
        <f>IF(Sales_Data[[#This Row],[Income]]&lt;=20000,"Low Income",IF(Sales_Data[[#This Row],[Income]]&lt;=40000,"Lower Middle",IF(Sales_Data[[#This Row],[Income]]&lt;=60000,"Middle Income",IF(Sales_Data[[#This Row],[Income]]&lt;=80000,"Upper Middle","High Income"))))</f>
        <v>Low Income</v>
      </c>
      <c r="F845">
        <v>1</v>
      </c>
      <c r="G845" t="s">
        <v>61</v>
      </c>
      <c r="H845" t="s">
        <v>28</v>
      </c>
      <c r="I845" t="s">
        <v>21</v>
      </c>
      <c r="J845">
        <v>0</v>
      </c>
      <c r="K845" t="s">
        <v>22</v>
      </c>
      <c r="L845" t="s">
        <v>23</v>
      </c>
      <c r="M845">
        <v>44</v>
      </c>
      <c r="N845" t="s">
        <v>24</v>
      </c>
      <c r="O845" t="s">
        <v>29</v>
      </c>
      <c r="P845" s="2">
        <v>824.02</v>
      </c>
      <c r="Q845" t="s">
        <v>44</v>
      </c>
      <c r="R845" s="1">
        <v>44938</v>
      </c>
      <c r="S845" s="1"/>
    </row>
    <row r="846" spans="1:19" x14ac:dyDescent="0.3">
      <c r="A846">
        <v>20171</v>
      </c>
      <c r="B846" t="s">
        <v>17</v>
      </c>
      <c r="C846" t="s">
        <v>18</v>
      </c>
      <c r="D846">
        <v>20000</v>
      </c>
      <c r="E846" t="str">
        <f>IF(Sales_Data[[#This Row],[Income]]&lt;=20000,"Low Income",IF(Sales_Data[[#This Row],[Income]]&lt;=40000,"Lower Middle",IF(Sales_Data[[#This Row],[Income]]&lt;=60000,"Middle Income",IF(Sales_Data[[#This Row],[Income]]&lt;=80000,"Upper Middle","High Income"))))</f>
        <v>Low Income</v>
      </c>
      <c r="F846">
        <v>2</v>
      </c>
      <c r="G846" t="s">
        <v>27</v>
      </c>
      <c r="H846" t="s">
        <v>42</v>
      </c>
      <c r="I846" t="s">
        <v>21</v>
      </c>
      <c r="J846">
        <v>1</v>
      </c>
      <c r="K846" t="s">
        <v>22</v>
      </c>
      <c r="L846" t="s">
        <v>23</v>
      </c>
      <c r="M846">
        <v>46</v>
      </c>
      <c r="N846" t="s">
        <v>38</v>
      </c>
      <c r="O846" t="s">
        <v>62</v>
      </c>
      <c r="P846" s="2">
        <v>5592.43</v>
      </c>
      <c r="Q846" t="s">
        <v>51</v>
      </c>
      <c r="R846" s="1">
        <v>45079</v>
      </c>
      <c r="S846" s="1"/>
    </row>
    <row r="847" spans="1:19" x14ac:dyDescent="0.3">
      <c r="A847">
        <v>19255</v>
      </c>
      <c r="B847" t="s">
        <v>35</v>
      </c>
      <c r="C847" t="s">
        <v>17</v>
      </c>
      <c r="D847">
        <v>10000</v>
      </c>
      <c r="E847" t="str">
        <f>IF(Sales_Data[[#This Row],[Income]]&lt;=20000,"Low Income",IF(Sales_Data[[#This Row],[Income]]&lt;=40000,"Lower Middle",IF(Sales_Data[[#This Row],[Income]]&lt;=60000,"Middle Income",IF(Sales_Data[[#This Row],[Income]]&lt;=80000,"Upper Middle","High Income"))))</f>
        <v>Low Income</v>
      </c>
      <c r="F847">
        <v>2</v>
      </c>
      <c r="G847" t="s">
        <v>27</v>
      </c>
      <c r="H847" t="s">
        <v>42</v>
      </c>
      <c r="I847" t="s">
        <v>21</v>
      </c>
      <c r="J847">
        <v>1</v>
      </c>
      <c r="K847" t="s">
        <v>22</v>
      </c>
      <c r="L847" t="s">
        <v>23</v>
      </c>
      <c r="M847">
        <v>51</v>
      </c>
      <c r="N847" t="s">
        <v>24</v>
      </c>
      <c r="O847" t="s">
        <v>34</v>
      </c>
      <c r="P847" s="2">
        <v>1134.8499999999999</v>
      </c>
      <c r="Q847" t="s">
        <v>51</v>
      </c>
      <c r="R847" s="1">
        <v>45088</v>
      </c>
      <c r="S847" s="1"/>
    </row>
    <row r="848" spans="1:19" x14ac:dyDescent="0.3">
      <c r="A848">
        <v>14547</v>
      </c>
      <c r="B848" t="s">
        <v>17</v>
      </c>
      <c r="C848" t="s">
        <v>17</v>
      </c>
      <c r="D848">
        <v>10000</v>
      </c>
      <c r="E848" t="str">
        <f>IF(Sales_Data[[#This Row],[Income]]&lt;=20000,"Low Income",IF(Sales_Data[[#This Row],[Income]]&lt;=40000,"Lower Middle",IF(Sales_Data[[#This Row],[Income]]&lt;=60000,"Middle Income",IF(Sales_Data[[#This Row],[Income]]&lt;=80000,"Upper Middle","High Income"))))</f>
        <v>Low Income</v>
      </c>
      <c r="F848">
        <v>2</v>
      </c>
      <c r="G848" t="s">
        <v>27</v>
      </c>
      <c r="H848" t="s">
        <v>42</v>
      </c>
      <c r="I848" t="s">
        <v>21</v>
      </c>
      <c r="J848">
        <v>0</v>
      </c>
      <c r="K848" t="s">
        <v>43</v>
      </c>
      <c r="L848" t="s">
        <v>23</v>
      </c>
      <c r="M848">
        <v>51</v>
      </c>
      <c r="N848" t="s">
        <v>38</v>
      </c>
      <c r="O848" t="s">
        <v>41</v>
      </c>
      <c r="P848" s="2">
        <v>1783.77</v>
      </c>
      <c r="Q848" t="s">
        <v>44</v>
      </c>
      <c r="R848" s="1">
        <v>44953</v>
      </c>
      <c r="S848" s="1"/>
    </row>
    <row r="849" spans="1:19" x14ac:dyDescent="0.3">
      <c r="A849">
        <v>14805</v>
      </c>
      <c r="B849" t="s">
        <v>35</v>
      </c>
      <c r="C849" t="s">
        <v>18</v>
      </c>
      <c r="D849">
        <v>10000</v>
      </c>
      <c r="E849" t="str">
        <f>IF(Sales_Data[[#This Row],[Income]]&lt;=20000,"Low Income",IF(Sales_Data[[#This Row],[Income]]&lt;=40000,"Lower Middle",IF(Sales_Data[[#This Row],[Income]]&lt;=60000,"Middle Income",IF(Sales_Data[[#This Row],[Income]]&lt;=80000,"Upper Middle","High Income"))))</f>
        <v>Low Income</v>
      </c>
      <c r="F849">
        <v>3</v>
      </c>
      <c r="G849" t="s">
        <v>50</v>
      </c>
      <c r="H849" t="s">
        <v>42</v>
      </c>
      <c r="I849" t="s">
        <v>21</v>
      </c>
      <c r="J849">
        <v>2</v>
      </c>
      <c r="K849" t="s">
        <v>22</v>
      </c>
      <c r="L849" t="s">
        <v>23</v>
      </c>
      <c r="M849">
        <v>43</v>
      </c>
      <c r="N849" t="s">
        <v>24</v>
      </c>
      <c r="O849" t="s">
        <v>25</v>
      </c>
      <c r="P849" s="2">
        <v>7600.8</v>
      </c>
      <c r="Q849" t="s">
        <v>40</v>
      </c>
      <c r="R849" s="1">
        <v>45062</v>
      </c>
      <c r="S849" s="1"/>
    </row>
    <row r="850" spans="1:19" x14ac:dyDescent="0.3">
      <c r="A850">
        <v>28488</v>
      </c>
      <c r="B850" t="s">
        <v>35</v>
      </c>
      <c r="C850" t="s">
        <v>17</v>
      </c>
      <c r="D850">
        <v>20000</v>
      </c>
      <c r="E850" t="str">
        <f>IF(Sales_Data[[#This Row],[Income]]&lt;=20000,"Low Income",IF(Sales_Data[[#This Row],[Income]]&lt;=40000,"Lower Middle",IF(Sales_Data[[#This Row],[Income]]&lt;=60000,"Middle Income",IF(Sales_Data[[#This Row],[Income]]&lt;=80000,"Upper Middle","High Income"))))</f>
        <v>Low Income</v>
      </c>
      <c r="F850">
        <v>0</v>
      </c>
      <c r="G850" t="s">
        <v>27</v>
      </c>
      <c r="H850" t="s">
        <v>42</v>
      </c>
      <c r="I850" t="s">
        <v>21</v>
      </c>
      <c r="J850">
        <v>0</v>
      </c>
      <c r="K850" t="s">
        <v>22</v>
      </c>
      <c r="L850" t="s">
        <v>37</v>
      </c>
      <c r="M850">
        <v>28</v>
      </c>
      <c r="N850" t="s">
        <v>24</v>
      </c>
      <c r="O850" t="s">
        <v>49</v>
      </c>
      <c r="P850" s="2">
        <v>7568.59</v>
      </c>
      <c r="Q850" t="s">
        <v>57</v>
      </c>
      <c r="R850" s="1">
        <v>45218</v>
      </c>
      <c r="S850" s="1"/>
    </row>
    <row r="851" spans="1:19" x14ac:dyDescent="0.3">
      <c r="A851">
        <v>29447</v>
      </c>
      <c r="B851" t="s">
        <v>35</v>
      </c>
      <c r="C851" t="s">
        <v>18</v>
      </c>
      <c r="D851">
        <v>10000</v>
      </c>
      <c r="E851" t="str">
        <f>IF(Sales_Data[[#This Row],[Income]]&lt;=20000,"Low Income",IF(Sales_Data[[#This Row],[Income]]&lt;=40000,"Lower Middle",IF(Sales_Data[[#This Row],[Income]]&lt;=60000,"Middle Income",IF(Sales_Data[[#This Row],[Income]]&lt;=80000,"Upper Middle","High Income"))))</f>
        <v>Low Income</v>
      </c>
      <c r="F851">
        <v>2</v>
      </c>
      <c r="G851" t="s">
        <v>19</v>
      </c>
      <c r="H851" t="s">
        <v>28</v>
      </c>
      <c r="I851" t="s">
        <v>32</v>
      </c>
      <c r="J851">
        <v>1</v>
      </c>
      <c r="K851" t="s">
        <v>33</v>
      </c>
      <c r="L851" t="s">
        <v>23</v>
      </c>
      <c r="M851">
        <v>68</v>
      </c>
      <c r="N851" t="s">
        <v>38</v>
      </c>
      <c r="O851" t="s">
        <v>41</v>
      </c>
      <c r="P851" s="2">
        <v>8961.09</v>
      </c>
      <c r="Q851" t="s">
        <v>44</v>
      </c>
      <c r="R851" s="1">
        <v>44948</v>
      </c>
      <c r="S851" s="1"/>
    </row>
    <row r="852" spans="1:19" x14ac:dyDescent="0.3">
      <c r="A852">
        <v>16559</v>
      </c>
      <c r="B852" t="s">
        <v>35</v>
      </c>
      <c r="C852" t="s">
        <v>18</v>
      </c>
      <c r="D852">
        <v>10000</v>
      </c>
      <c r="E852" t="str">
        <f>IF(Sales_Data[[#This Row],[Income]]&lt;=20000,"Low Income",IF(Sales_Data[[#This Row],[Income]]&lt;=40000,"Lower Middle",IF(Sales_Data[[#This Row],[Income]]&lt;=60000,"Middle Income",IF(Sales_Data[[#This Row],[Income]]&lt;=80000,"Upper Middle","High Income"))))</f>
        <v>Low Income</v>
      </c>
      <c r="F852">
        <v>2</v>
      </c>
      <c r="G852" t="s">
        <v>45</v>
      </c>
      <c r="H852" t="s">
        <v>42</v>
      </c>
      <c r="I852" t="s">
        <v>21</v>
      </c>
      <c r="J852">
        <v>0</v>
      </c>
      <c r="K852" t="s">
        <v>22</v>
      </c>
      <c r="L852" t="s">
        <v>23</v>
      </c>
      <c r="M852">
        <v>36</v>
      </c>
      <c r="N852" t="s">
        <v>24</v>
      </c>
      <c r="O852" t="s">
        <v>29</v>
      </c>
      <c r="P852" s="2">
        <v>5875.79</v>
      </c>
      <c r="Q852" t="s">
        <v>60</v>
      </c>
      <c r="R852" s="1">
        <v>45239</v>
      </c>
      <c r="S852" s="1"/>
    </row>
    <row r="853" spans="1:19" x14ac:dyDescent="0.3">
      <c r="A853">
        <v>12236</v>
      </c>
      <c r="B853" t="s">
        <v>17</v>
      </c>
      <c r="C853" t="s">
        <v>18</v>
      </c>
      <c r="D853">
        <v>20000</v>
      </c>
      <c r="E853" t="str">
        <f>IF(Sales_Data[[#This Row],[Income]]&lt;=20000,"Low Income",IF(Sales_Data[[#This Row],[Income]]&lt;=40000,"Lower Middle",IF(Sales_Data[[#This Row],[Income]]&lt;=60000,"Middle Income",IF(Sales_Data[[#This Row],[Income]]&lt;=80000,"Upper Middle","High Income"))))</f>
        <v>Low Income</v>
      </c>
      <c r="F853">
        <v>1</v>
      </c>
      <c r="G853" t="s">
        <v>27</v>
      </c>
      <c r="H853" t="s">
        <v>42</v>
      </c>
      <c r="I853" t="s">
        <v>21</v>
      </c>
      <c r="J853">
        <v>0</v>
      </c>
      <c r="K853" t="s">
        <v>22</v>
      </c>
      <c r="L853" t="s">
        <v>23</v>
      </c>
      <c r="M853">
        <v>65</v>
      </c>
      <c r="N853" t="s">
        <v>38</v>
      </c>
      <c r="O853" t="s">
        <v>39</v>
      </c>
      <c r="P853" s="2">
        <v>3414.47</v>
      </c>
      <c r="Q853" t="s">
        <v>44</v>
      </c>
      <c r="R853" s="1">
        <v>44950</v>
      </c>
      <c r="S853" s="1"/>
    </row>
    <row r="854" spans="1:19" x14ac:dyDescent="0.3">
      <c r="A854">
        <v>13662</v>
      </c>
      <c r="B854" t="s">
        <v>35</v>
      </c>
      <c r="C854" t="s">
        <v>17</v>
      </c>
      <c r="D854">
        <v>20000</v>
      </c>
      <c r="E854" t="str">
        <f>IF(Sales_Data[[#This Row],[Income]]&lt;=20000,"Low Income",IF(Sales_Data[[#This Row],[Income]]&lt;=40000,"Lower Middle",IF(Sales_Data[[#This Row],[Income]]&lt;=60000,"Middle Income",IF(Sales_Data[[#This Row],[Income]]&lt;=80000,"Upper Middle","High Income"))))</f>
        <v>Low Income</v>
      </c>
      <c r="F854">
        <v>0</v>
      </c>
      <c r="G854" t="s">
        <v>50</v>
      </c>
      <c r="H854" t="s">
        <v>42</v>
      </c>
      <c r="I854" t="s">
        <v>21</v>
      </c>
      <c r="J854">
        <v>2</v>
      </c>
      <c r="K854" t="s">
        <v>43</v>
      </c>
      <c r="L854" t="s">
        <v>23</v>
      </c>
      <c r="M854">
        <v>31</v>
      </c>
      <c r="N854" t="s">
        <v>24</v>
      </c>
      <c r="O854" t="s">
        <v>55</v>
      </c>
      <c r="P854" s="2">
        <v>3211.35</v>
      </c>
      <c r="Q854" t="s">
        <v>59</v>
      </c>
      <c r="R854" s="1">
        <v>45033</v>
      </c>
      <c r="S854" s="1"/>
    </row>
    <row r="855" spans="1:19" x14ac:dyDescent="0.3">
      <c r="A855">
        <v>19331</v>
      </c>
      <c r="B855" t="s">
        <v>35</v>
      </c>
      <c r="C855" t="s">
        <v>17</v>
      </c>
      <c r="D855">
        <v>20000</v>
      </c>
      <c r="E855" t="str">
        <f>IF(Sales_Data[[#This Row],[Income]]&lt;=20000,"Low Income",IF(Sales_Data[[#This Row],[Income]]&lt;=40000,"Lower Middle",IF(Sales_Data[[#This Row],[Income]]&lt;=60000,"Middle Income",IF(Sales_Data[[#This Row],[Income]]&lt;=80000,"Upper Middle","High Income"))))</f>
        <v>Low Income</v>
      </c>
      <c r="F855">
        <v>2</v>
      </c>
      <c r="G855" t="s">
        <v>45</v>
      </c>
      <c r="H855" t="s">
        <v>42</v>
      </c>
      <c r="I855" t="s">
        <v>21</v>
      </c>
      <c r="J855">
        <v>1</v>
      </c>
      <c r="K855" t="s">
        <v>22</v>
      </c>
      <c r="L855" t="s">
        <v>23</v>
      </c>
      <c r="M855">
        <v>40</v>
      </c>
      <c r="N855" t="s">
        <v>24</v>
      </c>
      <c r="O855" t="s">
        <v>29</v>
      </c>
      <c r="P855" s="2">
        <v>8573.5</v>
      </c>
      <c r="Q855" t="s">
        <v>44</v>
      </c>
      <c r="R855" s="1">
        <v>44941</v>
      </c>
      <c r="S855" s="1"/>
    </row>
    <row r="856" spans="1:19" x14ac:dyDescent="0.3">
      <c r="A856">
        <v>19748</v>
      </c>
      <c r="B856" t="s">
        <v>17</v>
      </c>
      <c r="C856" t="s">
        <v>17</v>
      </c>
      <c r="D856">
        <v>20000</v>
      </c>
      <c r="E856" t="str">
        <f>IF(Sales_Data[[#This Row],[Income]]&lt;=20000,"Low Income",IF(Sales_Data[[#This Row],[Income]]&lt;=40000,"Lower Middle",IF(Sales_Data[[#This Row],[Income]]&lt;=60000,"Middle Income",IF(Sales_Data[[#This Row],[Income]]&lt;=80000,"Upper Middle","High Income"))))</f>
        <v>Low Income</v>
      </c>
      <c r="F856">
        <v>4</v>
      </c>
      <c r="G856" t="s">
        <v>45</v>
      </c>
      <c r="H856" t="s">
        <v>20</v>
      </c>
      <c r="I856" t="s">
        <v>32</v>
      </c>
      <c r="J856">
        <v>2</v>
      </c>
      <c r="K856" t="s">
        <v>43</v>
      </c>
      <c r="L856" t="s">
        <v>37</v>
      </c>
      <c r="M856">
        <v>60</v>
      </c>
      <c r="N856" t="s">
        <v>24</v>
      </c>
      <c r="O856" t="s">
        <v>49</v>
      </c>
      <c r="P856" s="2">
        <v>3668.08</v>
      </c>
      <c r="Q856" t="s">
        <v>44</v>
      </c>
      <c r="R856" s="1">
        <v>44949</v>
      </c>
      <c r="S856" s="1"/>
    </row>
    <row r="857" spans="1:19" x14ac:dyDescent="0.3">
      <c r="A857">
        <v>15450</v>
      </c>
      <c r="B857" t="s">
        <v>17</v>
      </c>
      <c r="C857" t="s">
        <v>17</v>
      </c>
      <c r="D857">
        <v>10000</v>
      </c>
      <c r="E857" t="str">
        <f>IF(Sales_Data[[#This Row],[Income]]&lt;=20000,"Low Income",IF(Sales_Data[[#This Row],[Income]]&lt;=40000,"Lower Middle",IF(Sales_Data[[#This Row],[Income]]&lt;=60000,"Middle Income",IF(Sales_Data[[#This Row],[Income]]&lt;=80000,"Upper Middle","High Income"))))</f>
        <v>Low Income</v>
      </c>
      <c r="F857">
        <v>1</v>
      </c>
      <c r="G857" t="s">
        <v>61</v>
      </c>
      <c r="H857" t="s">
        <v>28</v>
      </c>
      <c r="I857" t="s">
        <v>21</v>
      </c>
      <c r="J857">
        <v>0</v>
      </c>
      <c r="K857" t="s">
        <v>22</v>
      </c>
      <c r="L857" t="s">
        <v>23</v>
      </c>
      <c r="M857">
        <v>70</v>
      </c>
      <c r="N857" t="s">
        <v>24</v>
      </c>
      <c r="O857" t="s">
        <v>34</v>
      </c>
      <c r="P857" s="2">
        <v>3378.71</v>
      </c>
      <c r="Q857" t="s">
        <v>48</v>
      </c>
      <c r="R857" s="1">
        <v>45145</v>
      </c>
      <c r="S857" s="1"/>
    </row>
    <row r="858" spans="1:19" x14ac:dyDescent="0.3">
      <c r="A858">
        <v>15629</v>
      </c>
      <c r="B858" t="s">
        <v>35</v>
      </c>
      <c r="C858" t="s">
        <v>18</v>
      </c>
      <c r="D858">
        <v>10000</v>
      </c>
      <c r="E858" t="str">
        <f>IF(Sales_Data[[#This Row],[Income]]&lt;=20000,"Low Income",IF(Sales_Data[[#This Row],[Income]]&lt;=40000,"Lower Middle",IF(Sales_Data[[#This Row],[Income]]&lt;=60000,"Middle Income",IF(Sales_Data[[#This Row],[Income]]&lt;=80000,"Upper Middle","High Income"))))</f>
        <v>Low Income</v>
      </c>
      <c r="F858">
        <v>0</v>
      </c>
      <c r="G858" t="s">
        <v>50</v>
      </c>
      <c r="H858" t="s">
        <v>42</v>
      </c>
      <c r="I858" t="s">
        <v>21</v>
      </c>
      <c r="J858">
        <v>2</v>
      </c>
      <c r="K858" t="s">
        <v>43</v>
      </c>
      <c r="L858" t="s">
        <v>23</v>
      </c>
      <c r="M858">
        <v>34</v>
      </c>
      <c r="N858" t="s">
        <v>38</v>
      </c>
      <c r="O858" t="s">
        <v>62</v>
      </c>
      <c r="P858" s="2">
        <v>724.86</v>
      </c>
      <c r="Q858" t="s">
        <v>48</v>
      </c>
      <c r="R858" s="1">
        <v>45156</v>
      </c>
      <c r="S858" s="1"/>
    </row>
    <row r="859" spans="1:19" x14ac:dyDescent="0.3">
      <c r="A859">
        <v>27835</v>
      </c>
      <c r="B859" t="s">
        <v>17</v>
      </c>
      <c r="C859" t="s">
        <v>17</v>
      </c>
      <c r="D859">
        <v>20000</v>
      </c>
      <c r="E859" t="str">
        <f>IF(Sales_Data[[#This Row],[Income]]&lt;=20000,"Low Income",IF(Sales_Data[[#This Row],[Income]]&lt;=40000,"Lower Middle",IF(Sales_Data[[#This Row],[Income]]&lt;=60000,"Middle Income",IF(Sales_Data[[#This Row],[Income]]&lt;=80000,"Upper Middle","High Income"))))</f>
        <v>Low Income</v>
      </c>
      <c r="F859">
        <v>0</v>
      </c>
      <c r="G859" t="s">
        <v>50</v>
      </c>
      <c r="H859" t="s">
        <v>42</v>
      </c>
      <c r="I859" t="s">
        <v>21</v>
      </c>
      <c r="J859">
        <v>2</v>
      </c>
      <c r="K859" t="s">
        <v>22</v>
      </c>
      <c r="L859" t="s">
        <v>23</v>
      </c>
      <c r="M859">
        <v>32</v>
      </c>
      <c r="N859" t="s">
        <v>24</v>
      </c>
      <c r="O859" t="s">
        <v>49</v>
      </c>
      <c r="P859" s="2">
        <v>6456.67</v>
      </c>
      <c r="Q859" t="s">
        <v>26</v>
      </c>
      <c r="R859" s="1">
        <v>45265</v>
      </c>
      <c r="S859" s="1"/>
    </row>
    <row r="860" spans="1:19" x14ac:dyDescent="0.3">
      <c r="A860">
        <v>27218</v>
      </c>
      <c r="B860" t="s">
        <v>17</v>
      </c>
      <c r="C860" t="s">
        <v>18</v>
      </c>
      <c r="D860">
        <v>20000</v>
      </c>
      <c r="E860" t="str">
        <f>IF(Sales_Data[[#This Row],[Income]]&lt;=20000,"Low Income",IF(Sales_Data[[#This Row],[Income]]&lt;=40000,"Lower Middle",IF(Sales_Data[[#This Row],[Income]]&lt;=60000,"Middle Income",IF(Sales_Data[[#This Row],[Income]]&lt;=80000,"Upper Middle","High Income"))))</f>
        <v>Low Income</v>
      </c>
      <c r="F860">
        <v>2</v>
      </c>
      <c r="G860" t="s">
        <v>50</v>
      </c>
      <c r="H860" t="s">
        <v>28</v>
      </c>
      <c r="I860" t="s">
        <v>32</v>
      </c>
      <c r="J860">
        <v>0</v>
      </c>
      <c r="K860" t="s">
        <v>22</v>
      </c>
      <c r="L860" t="s">
        <v>63</v>
      </c>
      <c r="M860">
        <v>48</v>
      </c>
      <c r="N860" t="s">
        <v>38</v>
      </c>
      <c r="O860" t="s">
        <v>39</v>
      </c>
      <c r="P860" s="2">
        <v>2839.16</v>
      </c>
      <c r="Q860" t="s">
        <v>30</v>
      </c>
      <c r="R860" s="1">
        <v>45005</v>
      </c>
      <c r="S860" s="1"/>
    </row>
    <row r="861" spans="1:19" x14ac:dyDescent="0.3">
      <c r="A861">
        <v>18058</v>
      </c>
      <c r="B861" t="s">
        <v>35</v>
      </c>
      <c r="C861" t="s">
        <v>18</v>
      </c>
      <c r="D861">
        <v>20000</v>
      </c>
      <c r="E861" t="str">
        <f>IF(Sales_Data[[#This Row],[Income]]&lt;=20000,"Low Income",IF(Sales_Data[[#This Row],[Income]]&lt;=40000,"Lower Middle",IF(Sales_Data[[#This Row],[Income]]&lt;=60000,"Middle Income",IF(Sales_Data[[#This Row],[Income]]&lt;=80000,"Upper Middle","High Income"))))</f>
        <v>Low Income</v>
      </c>
      <c r="F861">
        <v>3</v>
      </c>
      <c r="G861" t="s">
        <v>45</v>
      </c>
      <c r="H861" t="s">
        <v>20</v>
      </c>
      <c r="I861" t="s">
        <v>21</v>
      </c>
      <c r="J861">
        <v>2</v>
      </c>
      <c r="K861" t="s">
        <v>33</v>
      </c>
      <c r="L861" t="s">
        <v>63</v>
      </c>
      <c r="M861">
        <v>78</v>
      </c>
      <c r="N861" t="s">
        <v>38</v>
      </c>
      <c r="O861" t="s">
        <v>39</v>
      </c>
      <c r="P861" s="2">
        <v>3933.72</v>
      </c>
      <c r="Q861" t="s">
        <v>26</v>
      </c>
      <c r="R861" s="1">
        <v>45262</v>
      </c>
      <c r="S861" s="1"/>
    </row>
    <row r="862" spans="1:19" x14ac:dyDescent="0.3">
      <c r="A862">
        <v>25347</v>
      </c>
      <c r="B862" t="s">
        <v>35</v>
      </c>
      <c r="C862" t="s">
        <v>18</v>
      </c>
      <c r="D862">
        <v>20000</v>
      </c>
      <c r="E862" t="str">
        <f>IF(Sales_Data[[#This Row],[Income]]&lt;=20000,"Low Income",IF(Sales_Data[[#This Row],[Income]]&lt;=40000,"Lower Middle",IF(Sales_Data[[#This Row],[Income]]&lt;=60000,"Middle Income",IF(Sales_Data[[#This Row],[Income]]&lt;=80000,"Upper Middle","High Income"))))</f>
        <v>Low Income</v>
      </c>
      <c r="F862">
        <v>3</v>
      </c>
      <c r="G862" t="s">
        <v>50</v>
      </c>
      <c r="H862" t="s">
        <v>28</v>
      </c>
      <c r="I862" t="s">
        <v>32</v>
      </c>
      <c r="J862">
        <v>2</v>
      </c>
      <c r="K862" t="s">
        <v>22</v>
      </c>
      <c r="L862" t="s">
        <v>63</v>
      </c>
      <c r="M862">
        <v>49</v>
      </c>
      <c r="N862" t="s">
        <v>38</v>
      </c>
      <c r="O862" t="s">
        <v>39</v>
      </c>
      <c r="P862" s="2">
        <v>5905.59</v>
      </c>
      <c r="Q862" t="s">
        <v>26</v>
      </c>
      <c r="R862" s="1">
        <v>45282</v>
      </c>
      <c r="S862" s="1"/>
    </row>
    <row r="863" spans="1:19" x14ac:dyDescent="0.3">
      <c r="A863">
        <v>26248</v>
      </c>
      <c r="B863" t="s">
        <v>17</v>
      </c>
      <c r="C863" t="s">
        <v>17</v>
      </c>
      <c r="D863">
        <v>20000</v>
      </c>
      <c r="E863" t="str">
        <f>IF(Sales_Data[[#This Row],[Income]]&lt;=20000,"Low Income",IF(Sales_Data[[#This Row],[Income]]&lt;=40000,"Lower Middle",IF(Sales_Data[[#This Row],[Income]]&lt;=60000,"Middle Income",IF(Sales_Data[[#This Row],[Income]]&lt;=80000,"Upper Middle","High Income"))))</f>
        <v>Low Income</v>
      </c>
      <c r="F863">
        <v>3</v>
      </c>
      <c r="G863" t="s">
        <v>50</v>
      </c>
      <c r="H863" t="s">
        <v>28</v>
      </c>
      <c r="I863" t="s">
        <v>32</v>
      </c>
      <c r="J863">
        <v>2</v>
      </c>
      <c r="K863" t="s">
        <v>22</v>
      </c>
      <c r="L863" t="s">
        <v>63</v>
      </c>
      <c r="M863">
        <v>52</v>
      </c>
      <c r="N863" t="s">
        <v>24</v>
      </c>
      <c r="O863" t="s">
        <v>55</v>
      </c>
      <c r="P863" s="2">
        <v>7471.53</v>
      </c>
      <c r="Q863" t="s">
        <v>51</v>
      </c>
      <c r="R863" s="1">
        <v>45101</v>
      </c>
      <c r="S863" s="1"/>
    </row>
    <row r="864" spans="1:19" x14ac:dyDescent="0.3">
      <c r="A864">
        <v>27040</v>
      </c>
      <c r="B864" t="s">
        <v>17</v>
      </c>
      <c r="C864" t="s">
        <v>17</v>
      </c>
      <c r="D864">
        <v>20000</v>
      </c>
      <c r="E864" t="str">
        <f>IF(Sales_Data[[#This Row],[Income]]&lt;=20000,"Low Income",IF(Sales_Data[[#This Row],[Income]]&lt;=40000,"Lower Middle",IF(Sales_Data[[#This Row],[Income]]&lt;=60000,"Middle Income",IF(Sales_Data[[#This Row],[Income]]&lt;=80000,"Upper Middle","High Income"))))</f>
        <v>Low Income</v>
      </c>
      <c r="F864">
        <v>2</v>
      </c>
      <c r="G864" t="s">
        <v>50</v>
      </c>
      <c r="H864" t="s">
        <v>28</v>
      </c>
      <c r="I864" t="s">
        <v>21</v>
      </c>
      <c r="J864">
        <v>2</v>
      </c>
      <c r="K864" t="s">
        <v>43</v>
      </c>
      <c r="L864" t="s">
        <v>63</v>
      </c>
      <c r="M864">
        <v>49</v>
      </c>
      <c r="N864" t="s">
        <v>38</v>
      </c>
      <c r="O864" t="s">
        <v>62</v>
      </c>
      <c r="P864" s="2">
        <v>1020.98</v>
      </c>
      <c r="Q864" t="s">
        <v>59</v>
      </c>
      <c r="R864" s="1">
        <v>45038</v>
      </c>
      <c r="S864" s="1"/>
    </row>
    <row r="865" spans="1:19" x14ac:dyDescent="0.3">
      <c r="A865">
        <v>20084</v>
      </c>
      <c r="B865" t="s">
        <v>17</v>
      </c>
      <c r="C865" t="s">
        <v>17</v>
      </c>
      <c r="D865">
        <v>20000</v>
      </c>
      <c r="E865" t="str">
        <f>IF(Sales_Data[[#This Row],[Income]]&lt;=20000,"Low Income",IF(Sales_Data[[#This Row],[Income]]&lt;=40000,"Lower Middle",IF(Sales_Data[[#This Row],[Income]]&lt;=60000,"Middle Income",IF(Sales_Data[[#This Row],[Income]]&lt;=80000,"Upper Middle","High Income"))))</f>
        <v>Low Income</v>
      </c>
      <c r="F865">
        <v>2</v>
      </c>
      <c r="G865" t="s">
        <v>45</v>
      </c>
      <c r="H865" t="s">
        <v>42</v>
      </c>
      <c r="I865" t="s">
        <v>32</v>
      </c>
      <c r="J865">
        <v>2</v>
      </c>
      <c r="K865" t="s">
        <v>22</v>
      </c>
      <c r="L865" t="s">
        <v>63</v>
      </c>
      <c r="M865">
        <v>53</v>
      </c>
      <c r="N865" t="s">
        <v>38</v>
      </c>
      <c r="O865" t="s">
        <v>54</v>
      </c>
      <c r="P865" s="2">
        <v>1485.39</v>
      </c>
      <c r="Q865" t="s">
        <v>56</v>
      </c>
      <c r="R865" s="1">
        <v>45181</v>
      </c>
      <c r="S865" s="1"/>
    </row>
    <row r="866" spans="1:19" x14ac:dyDescent="0.3">
      <c r="A866">
        <v>23797</v>
      </c>
      <c r="B866" t="s">
        <v>35</v>
      </c>
      <c r="C866" t="s">
        <v>17</v>
      </c>
      <c r="D866">
        <v>20000</v>
      </c>
      <c r="E866" t="str">
        <f>IF(Sales_Data[[#This Row],[Income]]&lt;=20000,"Low Income",IF(Sales_Data[[#This Row],[Income]]&lt;=40000,"Lower Middle",IF(Sales_Data[[#This Row],[Income]]&lt;=60000,"Middle Income",IF(Sales_Data[[#This Row],[Income]]&lt;=80000,"Upper Middle","High Income"))))</f>
        <v>Low Income</v>
      </c>
      <c r="F866">
        <v>3</v>
      </c>
      <c r="G866" t="s">
        <v>50</v>
      </c>
      <c r="H866" t="s">
        <v>28</v>
      </c>
      <c r="I866" t="s">
        <v>32</v>
      </c>
      <c r="J866">
        <v>2</v>
      </c>
      <c r="K866" t="s">
        <v>22</v>
      </c>
      <c r="L866" t="s">
        <v>63</v>
      </c>
      <c r="M866">
        <v>50</v>
      </c>
      <c r="N866" t="s">
        <v>38</v>
      </c>
      <c r="O866" t="s">
        <v>41</v>
      </c>
      <c r="P866" s="2">
        <v>1802.99</v>
      </c>
      <c r="Q866" t="s">
        <v>52</v>
      </c>
      <c r="R866" s="1">
        <v>44967</v>
      </c>
      <c r="S866" s="1"/>
    </row>
    <row r="867" spans="1:19" x14ac:dyDescent="0.3">
      <c r="A867">
        <v>20076</v>
      </c>
      <c r="B867" t="s">
        <v>35</v>
      </c>
      <c r="C867" t="s">
        <v>18</v>
      </c>
      <c r="D867">
        <v>10000</v>
      </c>
      <c r="E867" t="str">
        <f>IF(Sales_Data[[#This Row],[Income]]&lt;=20000,"Low Income",IF(Sales_Data[[#This Row],[Income]]&lt;=40000,"Lower Middle",IF(Sales_Data[[#This Row],[Income]]&lt;=60000,"Middle Income",IF(Sales_Data[[#This Row],[Income]]&lt;=80000,"Upper Middle","High Income"))))</f>
        <v>Low Income</v>
      </c>
      <c r="F867">
        <v>2</v>
      </c>
      <c r="G867" t="s">
        <v>45</v>
      </c>
      <c r="H867" t="s">
        <v>42</v>
      </c>
      <c r="I867" t="s">
        <v>21</v>
      </c>
      <c r="J867">
        <v>2</v>
      </c>
      <c r="K867" t="s">
        <v>43</v>
      </c>
      <c r="L867" t="s">
        <v>63</v>
      </c>
      <c r="M867">
        <v>53</v>
      </c>
      <c r="N867" t="s">
        <v>24</v>
      </c>
      <c r="O867" t="s">
        <v>49</v>
      </c>
      <c r="P867" s="2">
        <v>3281.64</v>
      </c>
      <c r="Q867" t="s">
        <v>26</v>
      </c>
      <c r="R867" s="1">
        <v>45269</v>
      </c>
      <c r="S867" s="1"/>
    </row>
    <row r="868" spans="1:19" x14ac:dyDescent="0.3">
      <c r="A868">
        <v>26270</v>
      </c>
      <c r="B868" t="s">
        <v>35</v>
      </c>
      <c r="C868" t="s">
        <v>18</v>
      </c>
      <c r="D868">
        <v>20000</v>
      </c>
      <c r="E868" t="str">
        <f>IF(Sales_Data[[#This Row],[Income]]&lt;=20000,"Low Income",IF(Sales_Data[[#This Row],[Income]]&lt;=40000,"Lower Middle",IF(Sales_Data[[#This Row],[Income]]&lt;=60000,"Middle Income",IF(Sales_Data[[#This Row],[Income]]&lt;=80000,"Upper Middle","High Income"))))</f>
        <v>Low Income</v>
      </c>
      <c r="F868">
        <v>2</v>
      </c>
      <c r="G868" t="s">
        <v>50</v>
      </c>
      <c r="H868" t="s">
        <v>28</v>
      </c>
      <c r="I868" t="s">
        <v>21</v>
      </c>
      <c r="J868">
        <v>2</v>
      </c>
      <c r="K868" t="s">
        <v>43</v>
      </c>
      <c r="L868" t="s">
        <v>63</v>
      </c>
      <c r="M868">
        <v>49</v>
      </c>
      <c r="N868" t="s">
        <v>38</v>
      </c>
      <c r="O868" t="s">
        <v>39</v>
      </c>
      <c r="P868" s="2">
        <v>4298.0600000000004</v>
      </c>
      <c r="Q868" t="s">
        <v>51</v>
      </c>
      <c r="R868" s="1">
        <v>45107</v>
      </c>
      <c r="S868" s="1"/>
    </row>
    <row r="869" spans="1:19" x14ac:dyDescent="0.3">
      <c r="A869">
        <v>23248</v>
      </c>
      <c r="B869" t="s">
        <v>17</v>
      </c>
      <c r="C869" t="s">
        <v>18</v>
      </c>
      <c r="D869">
        <v>10000</v>
      </c>
      <c r="E869" t="str">
        <f>IF(Sales_Data[[#This Row],[Income]]&lt;=20000,"Low Income",IF(Sales_Data[[#This Row],[Income]]&lt;=40000,"Lower Middle",IF(Sales_Data[[#This Row],[Income]]&lt;=60000,"Middle Income",IF(Sales_Data[[#This Row],[Income]]&lt;=80000,"Upper Middle","High Income"))))</f>
        <v>Low Income</v>
      </c>
      <c r="F869">
        <v>2</v>
      </c>
      <c r="G869" t="s">
        <v>45</v>
      </c>
      <c r="H869" t="s">
        <v>42</v>
      </c>
      <c r="I869" t="s">
        <v>21</v>
      </c>
      <c r="J869">
        <v>2</v>
      </c>
      <c r="K869" t="s">
        <v>43</v>
      </c>
      <c r="L869" t="s">
        <v>63</v>
      </c>
      <c r="M869">
        <v>53</v>
      </c>
      <c r="N869" t="s">
        <v>38</v>
      </c>
      <c r="O869" t="s">
        <v>41</v>
      </c>
      <c r="P869" s="2">
        <v>7533.71</v>
      </c>
      <c r="Q869" t="s">
        <v>59</v>
      </c>
      <c r="R869" s="1">
        <v>45031</v>
      </c>
      <c r="S869" s="1"/>
    </row>
    <row r="870" spans="1:19" x14ac:dyDescent="0.3">
      <c r="A870">
        <v>25343</v>
      </c>
      <c r="B870" t="s">
        <v>35</v>
      </c>
      <c r="C870" t="s">
        <v>18</v>
      </c>
      <c r="D870">
        <v>20000</v>
      </c>
      <c r="E870" t="str">
        <f>IF(Sales_Data[[#This Row],[Income]]&lt;=20000,"Low Income",IF(Sales_Data[[#This Row],[Income]]&lt;=40000,"Lower Middle",IF(Sales_Data[[#This Row],[Income]]&lt;=60000,"Middle Income",IF(Sales_Data[[#This Row],[Income]]&lt;=80000,"Upper Middle","High Income"))))</f>
        <v>Low Income</v>
      </c>
      <c r="F870">
        <v>3</v>
      </c>
      <c r="G870" t="s">
        <v>50</v>
      </c>
      <c r="H870" t="s">
        <v>28</v>
      </c>
      <c r="I870" t="s">
        <v>21</v>
      </c>
      <c r="J870">
        <v>2</v>
      </c>
      <c r="K870" t="s">
        <v>43</v>
      </c>
      <c r="L870" t="s">
        <v>63</v>
      </c>
      <c r="M870">
        <v>50</v>
      </c>
      <c r="N870" t="s">
        <v>24</v>
      </c>
      <c r="O870" t="s">
        <v>55</v>
      </c>
      <c r="P870" s="2">
        <v>5991.14</v>
      </c>
      <c r="Q870" t="s">
        <v>26</v>
      </c>
      <c r="R870" s="1">
        <v>45282</v>
      </c>
      <c r="S870" s="1"/>
    </row>
    <row r="871" spans="1:19" x14ac:dyDescent="0.3">
      <c r="A871">
        <v>13714</v>
      </c>
      <c r="B871" t="s">
        <v>17</v>
      </c>
      <c r="C871" t="s">
        <v>18</v>
      </c>
      <c r="D871">
        <v>20000</v>
      </c>
      <c r="E871" t="str">
        <f>IF(Sales_Data[[#This Row],[Income]]&lt;=20000,"Low Income",IF(Sales_Data[[#This Row],[Income]]&lt;=40000,"Lower Middle",IF(Sales_Data[[#This Row],[Income]]&lt;=60000,"Middle Income",IF(Sales_Data[[#This Row],[Income]]&lt;=80000,"Upper Middle","High Income"))))</f>
        <v>Low Income</v>
      </c>
      <c r="F871">
        <v>2</v>
      </c>
      <c r="G871" t="s">
        <v>45</v>
      </c>
      <c r="H871" t="s">
        <v>42</v>
      </c>
      <c r="I871" t="s">
        <v>32</v>
      </c>
      <c r="J871">
        <v>2</v>
      </c>
      <c r="K871" t="s">
        <v>43</v>
      </c>
      <c r="L871" t="s">
        <v>63</v>
      </c>
      <c r="M871">
        <v>53</v>
      </c>
      <c r="N871" t="s">
        <v>24</v>
      </c>
      <c r="O871" t="s">
        <v>29</v>
      </c>
      <c r="P871" s="2">
        <v>1071.8800000000001</v>
      </c>
      <c r="Q871" t="s">
        <v>52</v>
      </c>
      <c r="R871" s="1">
        <v>44965</v>
      </c>
      <c r="S871" s="1"/>
    </row>
    <row r="872" spans="1:19" x14ac:dyDescent="0.3">
      <c r="A872">
        <v>23801</v>
      </c>
      <c r="B872" t="s">
        <v>17</v>
      </c>
      <c r="C872" t="s">
        <v>18</v>
      </c>
      <c r="D872">
        <v>20000</v>
      </c>
      <c r="E872" t="str">
        <f>IF(Sales_Data[[#This Row],[Income]]&lt;=20000,"Low Income",IF(Sales_Data[[#This Row],[Income]]&lt;=40000,"Lower Middle",IF(Sales_Data[[#This Row],[Income]]&lt;=60000,"Middle Income",IF(Sales_Data[[#This Row],[Income]]&lt;=80000,"Upper Middle","High Income"))))</f>
        <v>Low Income</v>
      </c>
      <c r="F872">
        <v>2</v>
      </c>
      <c r="G872" t="s">
        <v>50</v>
      </c>
      <c r="H872" t="s">
        <v>28</v>
      </c>
      <c r="I872" t="s">
        <v>21</v>
      </c>
      <c r="J872">
        <v>2</v>
      </c>
      <c r="K872" t="s">
        <v>22</v>
      </c>
      <c r="L872" t="s">
        <v>63</v>
      </c>
      <c r="M872">
        <v>49</v>
      </c>
      <c r="N872" t="s">
        <v>24</v>
      </c>
      <c r="O872" t="s">
        <v>34</v>
      </c>
      <c r="P872" s="2">
        <v>5566.87</v>
      </c>
      <c r="Q872" t="s">
        <v>58</v>
      </c>
      <c r="R872" s="1">
        <v>45117</v>
      </c>
      <c r="S872" s="1"/>
    </row>
    <row r="873" spans="1:19" x14ac:dyDescent="0.3">
      <c r="A873">
        <v>13507</v>
      </c>
      <c r="B873" t="s">
        <v>17</v>
      </c>
      <c r="C873" t="s">
        <v>18</v>
      </c>
      <c r="D873">
        <v>10000</v>
      </c>
      <c r="E873" t="str">
        <f>IF(Sales_Data[[#This Row],[Income]]&lt;=20000,"Low Income",IF(Sales_Data[[#This Row],[Income]]&lt;=40000,"Lower Middle",IF(Sales_Data[[#This Row],[Income]]&lt;=60000,"Middle Income",IF(Sales_Data[[#This Row],[Income]]&lt;=80000,"Upper Middle","High Income"))))</f>
        <v>Low Income</v>
      </c>
      <c r="F873">
        <v>2</v>
      </c>
      <c r="G873" t="s">
        <v>27</v>
      </c>
      <c r="H873" t="s">
        <v>42</v>
      </c>
      <c r="I873" t="s">
        <v>21</v>
      </c>
      <c r="J873">
        <v>0</v>
      </c>
      <c r="K873" t="s">
        <v>43</v>
      </c>
      <c r="L873" t="s">
        <v>23</v>
      </c>
      <c r="M873">
        <v>50</v>
      </c>
      <c r="N873" t="s">
        <v>38</v>
      </c>
      <c r="O873" t="s">
        <v>54</v>
      </c>
      <c r="P873" s="2">
        <v>4533.1899999999996</v>
      </c>
      <c r="Q873" t="s">
        <v>44</v>
      </c>
      <c r="R873" s="1">
        <v>44935</v>
      </c>
      <c r="S873" s="1"/>
    </row>
    <row r="874" spans="1:19" x14ac:dyDescent="0.3">
      <c r="A874">
        <v>20870</v>
      </c>
      <c r="B874" t="s">
        <v>35</v>
      </c>
      <c r="C874" t="s">
        <v>18</v>
      </c>
      <c r="D874">
        <v>10000</v>
      </c>
      <c r="E874" t="str">
        <f>IF(Sales_Data[[#This Row],[Income]]&lt;=20000,"Low Income",IF(Sales_Data[[#This Row],[Income]]&lt;=40000,"Lower Middle",IF(Sales_Data[[#This Row],[Income]]&lt;=60000,"Middle Income",IF(Sales_Data[[#This Row],[Income]]&lt;=80000,"Upper Middle","High Income"))))</f>
        <v>Low Income</v>
      </c>
      <c r="F874">
        <v>2</v>
      </c>
      <c r="G874" t="s">
        <v>45</v>
      </c>
      <c r="H874" t="s">
        <v>42</v>
      </c>
      <c r="I874" t="s">
        <v>21</v>
      </c>
      <c r="J874">
        <v>1</v>
      </c>
      <c r="K874" t="s">
        <v>22</v>
      </c>
      <c r="L874" t="s">
        <v>23</v>
      </c>
      <c r="M874">
        <v>38</v>
      </c>
      <c r="N874" t="s">
        <v>24</v>
      </c>
      <c r="O874" t="s">
        <v>25</v>
      </c>
      <c r="P874" s="2">
        <v>5912.08</v>
      </c>
      <c r="Q874" t="s">
        <v>56</v>
      </c>
      <c r="R874" s="1">
        <v>45172</v>
      </c>
      <c r="S874" s="1"/>
    </row>
    <row r="875" spans="1:19" x14ac:dyDescent="0.3">
      <c r="A875">
        <v>25940</v>
      </c>
      <c r="B875" t="s">
        <v>35</v>
      </c>
      <c r="C875" t="s">
        <v>17</v>
      </c>
      <c r="D875">
        <v>20000</v>
      </c>
      <c r="E875" t="str">
        <f>IF(Sales_Data[[#This Row],[Income]]&lt;=20000,"Low Income",IF(Sales_Data[[#This Row],[Income]]&lt;=40000,"Lower Middle",IF(Sales_Data[[#This Row],[Income]]&lt;=60000,"Middle Income",IF(Sales_Data[[#This Row],[Income]]&lt;=80000,"Upper Middle","High Income"))))</f>
        <v>Low Income</v>
      </c>
      <c r="F875">
        <v>2</v>
      </c>
      <c r="G875" t="s">
        <v>50</v>
      </c>
      <c r="H875" t="s">
        <v>28</v>
      </c>
      <c r="I875" t="s">
        <v>21</v>
      </c>
      <c r="J875">
        <v>2</v>
      </c>
      <c r="K875" t="s">
        <v>36</v>
      </c>
      <c r="L875" t="s">
        <v>37</v>
      </c>
      <c r="M875">
        <v>55</v>
      </c>
      <c r="N875" t="s">
        <v>24</v>
      </c>
      <c r="O875" t="s">
        <v>34</v>
      </c>
      <c r="P875" s="2">
        <v>4303.92</v>
      </c>
      <c r="Q875" t="s">
        <v>56</v>
      </c>
      <c r="R875" s="1">
        <v>45194</v>
      </c>
      <c r="S875" s="1"/>
    </row>
    <row r="876" spans="1:19" x14ac:dyDescent="0.3">
      <c r="A876">
        <v>16466</v>
      </c>
      <c r="B876" t="s">
        <v>35</v>
      </c>
      <c r="C876" t="s">
        <v>18</v>
      </c>
      <c r="D876">
        <v>20000</v>
      </c>
      <c r="E876" t="str">
        <f>IF(Sales_Data[[#This Row],[Income]]&lt;=20000,"Low Income",IF(Sales_Data[[#This Row],[Income]]&lt;=40000,"Lower Middle",IF(Sales_Data[[#This Row],[Income]]&lt;=60000,"Middle Income",IF(Sales_Data[[#This Row],[Income]]&lt;=80000,"Upper Middle","High Income"))))</f>
        <v>Low Income</v>
      </c>
      <c r="F876">
        <v>0</v>
      </c>
      <c r="G876" t="s">
        <v>50</v>
      </c>
      <c r="H876" t="s">
        <v>42</v>
      </c>
      <c r="I876" t="s">
        <v>32</v>
      </c>
      <c r="J876">
        <v>2</v>
      </c>
      <c r="K876" t="s">
        <v>22</v>
      </c>
      <c r="L876" t="s">
        <v>23</v>
      </c>
      <c r="M876">
        <v>32</v>
      </c>
      <c r="N876" t="s">
        <v>38</v>
      </c>
      <c r="O876" t="s">
        <v>54</v>
      </c>
      <c r="P876" s="2">
        <v>5534.33</v>
      </c>
      <c r="Q876" t="s">
        <v>26</v>
      </c>
      <c r="R876" s="1">
        <v>45273</v>
      </c>
      <c r="S876" s="1"/>
    </row>
    <row r="877" spans="1:19" x14ac:dyDescent="0.3">
      <c r="A877">
        <v>19273</v>
      </c>
      <c r="B877" t="s">
        <v>17</v>
      </c>
      <c r="C877" t="s">
        <v>18</v>
      </c>
      <c r="D877">
        <v>20000</v>
      </c>
      <c r="E877" t="str">
        <f>IF(Sales_Data[[#This Row],[Income]]&lt;=20000,"Low Income",IF(Sales_Data[[#This Row],[Income]]&lt;=40000,"Lower Middle",IF(Sales_Data[[#This Row],[Income]]&lt;=60000,"Middle Income",IF(Sales_Data[[#This Row],[Income]]&lt;=80000,"Upper Middle","High Income"))))</f>
        <v>Low Income</v>
      </c>
      <c r="F877">
        <v>2</v>
      </c>
      <c r="G877" t="s">
        <v>27</v>
      </c>
      <c r="H877" t="s">
        <v>42</v>
      </c>
      <c r="I877" t="s">
        <v>21</v>
      </c>
      <c r="J877">
        <v>0</v>
      </c>
      <c r="K877" t="s">
        <v>22</v>
      </c>
      <c r="L877" t="s">
        <v>23</v>
      </c>
      <c r="M877">
        <v>63</v>
      </c>
      <c r="N877" t="s">
        <v>38</v>
      </c>
      <c r="O877" t="s">
        <v>39</v>
      </c>
      <c r="P877" s="2">
        <v>8735.4500000000007</v>
      </c>
      <c r="Q877" t="s">
        <v>30</v>
      </c>
      <c r="R877" s="1">
        <v>45009</v>
      </c>
      <c r="S877" s="1"/>
    </row>
    <row r="878" spans="1:19" x14ac:dyDescent="0.3">
      <c r="A878">
        <v>22400</v>
      </c>
      <c r="B878" t="s">
        <v>17</v>
      </c>
      <c r="C878" t="s">
        <v>17</v>
      </c>
      <c r="D878">
        <v>10000</v>
      </c>
      <c r="E878" t="str">
        <f>IF(Sales_Data[[#This Row],[Income]]&lt;=20000,"Low Income",IF(Sales_Data[[#This Row],[Income]]&lt;=40000,"Lower Middle",IF(Sales_Data[[#This Row],[Income]]&lt;=60000,"Middle Income",IF(Sales_Data[[#This Row],[Income]]&lt;=80000,"Upper Middle","High Income"))))</f>
        <v>Low Income</v>
      </c>
      <c r="F878">
        <v>0</v>
      </c>
      <c r="G878" t="s">
        <v>27</v>
      </c>
      <c r="H878" t="s">
        <v>42</v>
      </c>
      <c r="I878" t="s">
        <v>32</v>
      </c>
      <c r="J878">
        <v>1</v>
      </c>
      <c r="K878" t="s">
        <v>22</v>
      </c>
      <c r="L878" t="s">
        <v>37</v>
      </c>
      <c r="M878">
        <v>26</v>
      </c>
      <c r="N878" t="s">
        <v>24</v>
      </c>
      <c r="O878" t="s">
        <v>55</v>
      </c>
      <c r="P878" s="2">
        <v>7402.9</v>
      </c>
      <c r="Q878" t="s">
        <v>56</v>
      </c>
      <c r="R878" s="1">
        <v>45183</v>
      </c>
      <c r="S878" s="1"/>
    </row>
    <row r="879" spans="1:19" x14ac:dyDescent="0.3">
      <c r="A879">
        <v>20942</v>
      </c>
      <c r="B879" t="s">
        <v>35</v>
      </c>
      <c r="C879" t="s">
        <v>18</v>
      </c>
      <c r="D879">
        <v>20000</v>
      </c>
      <c r="E879" t="str">
        <f>IF(Sales_Data[[#This Row],[Income]]&lt;=20000,"Low Income",IF(Sales_Data[[#This Row],[Income]]&lt;=40000,"Lower Middle",IF(Sales_Data[[#This Row],[Income]]&lt;=60000,"Middle Income",IF(Sales_Data[[#This Row],[Income]]&lt;=80000,"Upper Middle","High Income"))))</f>
        <v>Low Income</v>
      </c>
      <c r="F879">
        <v>0</v>
      </c>
      <c r="G879" t="s">
        <v>45</v>
      </c>
      <c r="H879" t="s">
        <v>42</v>
      </c>
      <c r="I879" t="s">
        <v>32</v>
      </c>
      <c r="J879">
        <v>1</v>
      </c>
      <c r="K879" t="s">
        <v>36</v>
      </c>
      <c r="L879" t="s">
        <v>23</v>
      </c>
      <c r="M879">
        <v>31</v>
      </c>
      <c r="N879" t="s">
        <v>38</v>
      </c>
      <c r="O879" t="s">
        <v>47</v>
      </c>
      <c r="P879" s="2">
        <v>8745.0499999999993</v>
      </c>
      <c r="Q879" t="s">
        <v>26</v>
      </c>
      <c r="R879" s="1">
        <v>45282</v>
      </c>
      <c r="S879" s="1"/>
    </row>
    <row r="880" spans="1:19" x14ac:dyDescent="0.3">
      <c r="A880">
        <v>27974</v>
      </c>
      <c r="B880" t="s">
        <v>35</v>
      </c>
      <c r="C880" t="s">
        <v>17</v>
      </c>
      <c r="D880">
        <v>160000</v>
      </c>
      <c r="E880" t="str">
        <f>IF(Sales_Data[[#This Row],[Income]]&lt;=20000,"Low Income",IF(Sales_Data[[#This Row],[Income]]&lt;=40000,"Lower Middle",IF(Sales_Data[[#This Row],[Income]]&lt;=60000,"Middle Income",IF(Sales_Data[[#This Row],[Income]]&lt;=80000,"Upper Middle","High Income"))))</f>
        <v>High Income</v>
      </c>
      <c r="F880">
        <v>2</v>
      </c>
      <c r="G880" t="s">
        <v>45</v>
      </c>
      <c r="H880" t="s">
        <v>46</v>
      </c>
      <c r="I880" t="s">
        <v>21</v>
      </c>
      <c r="J880">
        <v>4</v>
      </c>
      <c r="K880" t="s">
        <v>22</v>
      </c>
      <c r="L880" t="s">
        <v>37</v>
      </c>
      <c r="M880">
        <v>33</v>
      </c>
      <c r="N880" t="s">
        <v>38</v>
      </c>
      <c r="O880" t="s">
        <v>47</v>
      </c>
      <c r="P880" s="2">
        <v>919.88</v>
      </c>
      <c r="Q880" t="s">
        <v>48</v>
      </c>
      <c r="R880" s="1">
        <v>45158</v>
      </c>
      <c r="S880" s="1"/>
    </row>
    <row r="881" spans="1:19" x14ac:dyDescent="0.3">
      <c r="A881">
        <v>19280</v>
      </c>
      <c r="B881" t="s">
        <v>17</v>
      </c>
      <c r="C881" t="s">
        <v>17</v>
      </c>
      <c r="D881">
        <v>120000</v>
      </c>
      <c r="E881" t="str">
        <f>IF(Sales_Data[[#This Row],[Income]]&lt;=20000,"Low Income",IF(Sales_Data[[#This Row],[Income]]&lt;=40000,"Lower Middle",IF(Sales_Data[[#This Row],[Income]]&lt;=60000,"Middle Income",IF(Sales_Data[[#This Row],[Income]]&lt;=80000,"Upper Middle","High Income"))))</f>
        <v>High Income</v>
      </c>
      <c r="F881">
        <v>2</v>
      </c>
      <c r="G881" t="s">
        <v>27</v>
      </c>
      <c r="H881" t="s">
        <v>42</v>
      </c>
      <c r="I881" t="s">
        <v>21</v>
      </c>
      <c r="J881">
        <v>1</v>
      </c>
      <c r="K881" t="s">
        <v>22</v>
      </c>
      <c r="L881" t="s">
        <v>23</v>
      </c>
      <c r="M881">
        <v>40</v>
      </c>
      <c r="N881" t="s">
        <v>24</v>
      </c>
      <c r="O881" t="s">
        <v>49</v>
      </c>
      <c r="P881" s="2">
        <v>7988.06</v>
      </c>
      <c r="Q881" t="s">
        <v>52</v>
      </c>
      <c r="R881" s="1">
        <v>44973</v>
      </c>
      <c r="S881" s="1"/>
    </row>
    <row r="882" spans="1:19" x14ac:dyDescent="0.3">
      <c r="A882">
        <v>12697</v>
      </c>
      <c r="B882" t="s">
        <v>35</v>
      </c>
      <c r="C882" t="s">
        <v>18</v>
      </c>
      <c r="D882">
        <v>90000</v>
      </c>
      <c r="E882" t="str">
        <f>IF(Sales_Data[[#This Row],[Income]]&lt;=20000,"Low Income",IF(Sales_Data[[#This Row],[Income]]&lt;=40000,"Lower Middle",IF(Sales_Data[[#This Row],[Income]]&lt;=60000,"Middle Income",IF(Sales_Data[[#This Row],[Income]]&lt;=80000,"Upper Middle","High Income"))))</f>
        <v>High Income</v>
      </c>
      <c r="F882">
        <v>0</v>
      </c>
      <c r="G882" t="s">
        <v>19</v>
      </c>
      <c r="H882" t="s">
        <v>31</v>
      </c>
      <c r="I882" t="s">
        <v>32</v>
      </c>
      <c r="J882">
        <v>4</v>
      </c>
      <c r="K882" t="s">
        <v>53</v>
      </c>
      <c r="L882" t="s">
        <v>37</v>
      </c>
      <c r="M882">
        <v>36</v>
      </c>
      <c r="N882" t="s">
        <v>38</v>
      </c>
      <c r="O882" t="s">
        <v>54</v>
      </c>
      <c r="P882" s="2">
        <v>5034.91</v>
      </c>
      <c r="Q882" t="s">
        <v>48</v>
      </c>
      <c r="R882" s="1">
        <v>45153</v>
      </c>
      <c r="S882" s="1"/>
    </row>
    <row r="883" spans="1:19" x14ac:dyDescent="0.3">
      <c r="A883">
        <v>11434</v>
      </c>
      <c r="B883" t="s">
        <v>17</v>
      </c>
      <c r="C883" t="s">
        <v>17</v>
      </c>
      <c r="D883">
        <v>170000</v>
      </c>
      <c r="E883" t="str">
        <f>IF(Sales_Data[[#This Row],[Income]]&lt;=20000,"Low Income",IF(Sales_Data[[#This Row],[Income]]&lt;=40000,"Lower Middle",IF(Sales_Data[[#This Row],[Income]]&lt;=60000,"Middle Income",IF(Sales_Data[[#This Row],[Income]]&lt;=80000,"Upper Middle","High Income"))))</f>
        <v>High Income</v>
      </c>
      <c r="F883">
        <v>5</v>
      </c>
      <c r="G883" t="s">
        <v>27</v>
      </c>
      <c r="H883" t="s">
        <v>31</v>
      </c>
      <c r="I883" t="s">
        <v>21</v>
      </c>
      <c r="J883">
        <v>0</v>
      </c>
      <c r="K883" t="s">
        <v>22</v>
      </c>
      <c r="L883" t="s">
        <v>23</v>
      </c>
      <c r="M883">
        <v>55</v>
      </c>
      <c r="N883" t="s">
        <v>24</v>
      </c>
      <c r="O883" t="s">
        <v>55</v>
      </c>
      <c r="P883" s="2">
        <v>456.33</v>
      </c>
      <c r="Q883" t="s">
        <v>56</v>
      </c>
      <c r="R883" s="1">
        <v>45175</v>
      </c>
      <c r="S883" s="1"/>
    </row>
    <row r="884" spans="1:19" x14ac:dyDescent="0.3">
      <c r="A884">
        <v>18283</v>
      </c>
      <c r="B884" t="s">
        <v>35</v>
      </c>
      <c r="C884" t="s">
        <v>18</v>
      </c>
      <c r="D884">
        <v>100000</v>
      </c>
      <c r="E884" t="str">
        <f>IF(Sales_Data[[#This Row],[Income]]&lt;=20000,"Low Income",IF(Sales_Data[[#This Row],[Income]]&lt;=40000,"Lower Middle",IF(Sales_Data[[#This Row],[Income]]&lt;=60000,"Middle Income",IF(Sales_Data[[#This Row],[Income]]&lt;=80000,"Upper Middle","High Income"))))</f>
        <v>High Income</v>
      </c>
      <c r="F884">
        <v>0</v>
      </c>
      <c r="G884" t="s">
        <v>19</v>
      </c>
      <c r="H884" t="s">
        <v>31</v>
      </c>
      <c r="I884" t="s">
        <v>32</v>
      </c>
      <c r="J884">
        <v>1</v>
      </c>
      <c r="K884" t="s">
        <v>36</v>
      </c>
      <c r="L884" t="s">
        <v>37</v>
      </c>
      <c r="M884">
        <v>40</v>
      </c>
      <c r="N884" t="s">
        <v>24</v>
      </c>
      <c r="O884" t="s">
        <v>49</v>
      </c>
      <c r="P884" s="2">
        <v>2457.7399999999998</v>
      </c>
      <c r="Q884" t="s">
        <v>40</v>
      </c>
      <c r="R884" s="1">
        <v>45050</v>
      </c>
      <c r="S884" s="1"/>
    </row>
    <row r="885" spans="1:19" x14ac:dyDescent="0.3">
      <c r="A885">
        <v>12291</v>
      </c>
      <c r="B885" t="s">
        <v>35</v>
      </c>
      <c r="C885" t="s">
        <v>17</v>
      </c>
      <c r="D885">
        <v>90000</v>
      </c>
      <c r="E885" t="str">
        <f>IF(Sales_Data[[#This Row],[Income]]&lt;=20000,"Low Income",IF(Sales_Data[[#This Row],[Income]]&lt;=40000,"Lower Middle",IF(Sales_Data[[#This Row],[Income]]&lt;=60000,"Middle Income",IF(Sales_Data[[#This Row],[Income]]&lt;=80000,"Upper Middle","High Income"))))</f>
        <v>High Income</v>
      </c>
      <c r="F885">
        <v>5</v>
      </c>
      <c r="G885" t="s">
        <v>27</v>
      </c>
      <c r="H885" t="s">
        <v>31</v>
      </c>
      <c r="I885" t="s">
        <v>32</v>
      </c>
      <c r="J885">
        <v>2</v>
      </c>
      <c r="K885" t="s">
        <v>33</v>
      </c>
      <c r="L885" t="s">
        <v>23</v>
      </c>
      <c r="M885">
        <v>62</v>
      </c>
      <c r="N885" t="s">
        <v>38</v>
      </c>
      <c r="O885" t="s">
        <v>39</v>
      </c>
      <c r="P885" s="2">
        <v>2855.77</v>
      </c>
      <c r="Q885" t="s">
        <v>58</v>
      </c>
      <c r="R885" s="1">
        <v>45138</v>
      </c>
      <c r="S885" s="1"/>
    </row>
    <row r="886" spans="1:19" x14ac:dyDescent="0.3">
      <c r="A886">
        <v>17185</v>
      </c>
      <c r="B886" t="s">
        <v>17</v>
      </c>
      <c r="C886" t="s">
        <v>18</v>
      </c>
      <c r="D886">
        <v>170000</v>
      </c>
      <c r="E886" t="str">
        <f>IF(Sales_Data[[#This Row],[Income]]&lt;=20000,"Low Income",IF(Sales_Data[[#This Row],[Income]]&lt;=40000,"Lower Middle",IF(Sales_Data[[#This Row],[Income]]&lt;=60000,"Middle Income",IF(Sales_Data[[#This Row],[Income]]&lt;=80000,"Upper Middle","High Income"))))</f>
        <v>High Income</v>
      </c>
      <c r="F886">
        <v>4</v>
      </c>
      <c r="G886" t="s">
        <v>27</v>
      </c>
      <c r="H886" t="s">
        <v>31</v>
      </c>
      <c r="I886" t="s">
        <v>32</v>
      </c>
      <c r="J886">
        <v>3</v>
      </c>
      <c r="K886" t="s">
        <v>36</v>
      </c>
      <c r="L886" t="s">
        <v>23</v>
      </c>
      <c r="M886">
        <v>48</v>
      </c>
      <c r="N886" t="s">
        <v>38</v>
      </c>
      <c r="O886" t="s">
        <v>54</v>
      </c>
      <c r="P886" s="2">
        <v>2071.9</v>
      </c>
      <c r="Q886" t="s">
        <v>26</v>
      </c>
      <c r="R886" s="1">
        <v>45289</v>
      </c>
      <c r="S886" s="1"/>
    </row>
    <row r="887" spans="1:19" x14ac:dyDescent="0.3">
      <c r="A887">
        <v>24871</v>
      </c>
      <c r="B887" t="s">
        <v>35</v>
      </c>
      <c r="C887" t="s">
        <v>18</v>
      </c>
      <c r="D887">
        <v>90000</v>
      </c>
      <c r="E887" t="str">
        <f>IF(Sales_Data[[#This Row],[Income]]&lt;=20000,"Low Income",IF(Sales_Data[[#This Row],[Income]]&lt;=40000,"Lower Middle",IF(Sales_Data[[#This Row],[Income]]&lt;=60000,"Middle Income",IF(Sales_Data[[#This Row],[Income]]&lt;=80000,"Upper Middle","High Income"))))</f>
        <v>High Income</v>
      </c>
      <c r="F887">
        <v>4</v>
      </c>
      <c r="G887" t="s">
        <v>45</v>
      </c>
      <c r="H887" t="s">
        <v>46</v>
      </c>
      <c r="I887" t="s">
        <v>32</v>
      </c>
      <c r="J887">
        <v>3</v>
      </c>
      <c r="K887" t="s">
        <v>36</v>
      </c>
      <c r="L887" t="s">
        <v>23</v>
      </c>
      <c r="M887">
        <v>56</v>
      </c>
      <c r="N887" t="s">
        <v>24</v>
      </c>
      <c r="O887" t="s">
        <v>25</v>
      </c>
      <c r="P887" s="2">
        <v>2251.41</v>
      </c>
      <c r="Q887" t="s">
        <v>60</v>
      </c>
      <c r="R887" s="1">
        <v>45251</v>
      </c>
      <c r="S887" s="1"/>
    </row>
    <row r="888" spans="1:19" x14ac:dyDescent="0.3">
      <c r="A888">
        <v>20567</v>
      </c>
      <c r="B888" t="s">
        <v>17</v>
      </c>
      <c r="C888" t="s">
        <v>17</v>
      </c>
      <c r="D888">
        <v>130000</v>
      </c>
      <c r="E888" t="str">
        <f>IF(Sales_Data[[#This Row],[Income]]&lt;=20000,"Low Income",IF(Sales_Data[[#This Row],[Income]]&lt;=40000,"Lower Middle",IF(Sales_Data[[#This Row],[Income]]&lt;=60000,"Middle Income",IF(Sales_Data[[#This Row],[Income]]&lt;=80000,"Upper Middle","High Income"))))</f>
        <v>High Income</v>
      </c>
      <c r="F888">
        <v>4</v>
      </c>
      <c r="G888" t="s">
        <v>27</v>
      </c>
      <c r="H888" t="s">
        <v>31</v>
      </c>
      <c r="I888" t="s">
        <v>32</v>
      </c>
      <c r="J888">
        <v>4</v>
      </c>
      <c r="K888" t="s">
        <v>36</v>
      </c>
      <c r="L888" t="s">
        <v>23</v>
      </c>
      <c r="M888">
        <v>61</v>
      </c>
      <c r="N888" t="s">
        <v>38</v>
      </c>
      <c r="O888" t="s">
        <v>62</v>
      </c>
      <c r="P888" s="2">
        <v>8263.19</v>
      </c>
      <c r="Q888" t="s">
        <v>56</v>
      </c>
      <c r="R888" s="1">
        <v>45188</v>
      </c>
      <c r="S888" s="1"/>
    </row>
    <row r="889" spans="1:19" x14ac:dyDescent="0.3">
      <c r="A889">
        <v>14238</v>
      </c>
      <c r="B889" t="s">
        <v>17</v>
      </c>
      <c r="C889" t="s">
        <v>17</v>
      </c>
      <c r="D889">
        <v>120000</v>
      </c>
      <c r="E889" t="str">
        <f>IF(Sales_Data[[#This Row],[Income]]&lt;=20000,"Low Income",IF(Sales_Data[[#This Row],[Income]]&lt;=40000,"Lower Middle",IF(Sales_Data[[#This Row],[Income]]&lt;=60000,"Middle Income",IF(Sales_Data[[#This Row],[Income]]&lt;=80000,"Upper Middle","High Income"))))</f>
        <v>High Income</v>
      </c>
      <c r="F889">
        <v>0</v>
      </c>
      <c r="G889" t="s">
        <v>50</v>
      </c>
      <c r="H889" t="s">
        <v>31</v>
      </c>
      <c r="I889" t="s">
        <v>21</v>
      </c>
      <c r="J889">
        <v>4</v>
      </c>
      <c r="K889" t="s">
        <v>53</v>
      </c>
      <c r="L889" t="s">
        <v>37</v>
      </c>
      <c r="M889">
        <v>36</v>
      </c>
      <c r="N889" t="s">
        <v>38</v>
      </c>
      <c r="O889" t="s">
        <v>62</v>
      </c>
      <c r="P889" s="2">
        <v>1262.74</v>
      </c>
      <c r="Q889" t="s">
        <v>40</v>
      </c>
      <c r="R889" s="1">
        <v>45048</v>
      </c>
      <c r="S889" s="1"/>
    </row>
    <row r="890" spans="1:19" x14ac:dyDescent="0.3">
      <c r="A890">
        <v>24857</v>
      </c>
      <c r="B890" t="s">
        <v>17</v>
      </c>
      <c r="C890" t="s">
        <v>18</v>
      </c>
      <c r="D890">
        <v>130000</v>
      </c>
      <c r="E890" t="str">
        <f>IF(Sales_Data[[#This Row],[Income]]&lt;=20000,"Low Income",IF(Sales_Data[[#This Row],[Income]]&lt;=40000,"Lower Middle",IF(Sales_Data[[#This Row],[Income]]&lt;=60000,"Middle Income",IF(Sales_Data[[#This Row],[Income]]&lt;=80000,"Upper Middle","High Income"))))</f>
        <v>High Income</v>
      </c>
      <c r="F890">
        <v>3</v>
      </c>
      <c r="G890" t="s">
        <v>45</v>
      </c>
      <c r="H890" t="s">
        <v>31</v>
      </c>
      <c r="I890" t="s">
        <v>21</v>
      </c>
      <c r="J890">
        <v>4</v>
      </c>
      <c r="K890" t="s">
        <v>22</v>
      </c>
      <c r="L890" t="s">
        <v>23</v>
      </c>
      <c r="M890">
        <v>52</v>
      </c>
      <c r="N890" t="s">
        <v>38</v>
      </c>
      <c r="O890" t="s">
        <v>39</v>
      </c>
      <c r="P890" s="2">
        <v>5404.96</v>
      </c>
      <c r="Q890" t="s">
        <v>57</v>
      </c>
      <c r="R890" s="1">
        <v>45200</v>
      </c>
      <c r="S890" s="1"/>
    </row>
    <row r="891" spans="1:19" x14ac:dyDescent="0.3">
      <c r="A891">
        <v>12678</v>
      </c>
      <c r="B891" t="s">
        <v>35</v>
      </c>
      <c r="C891" t="s">
        <v>18</v>
      </c>
      <c r="D891">
        <v>130000</v>
      </c>
      <c r="E891" t="str">
        <f>IF(Sales_Data[[#This Row],[Income]]&lt;=20000,"Low Income",IF(Sales_Data[[#This Row],[Income]]&lt;=40000,"Lower Middle",IF(Sales_Data[[#This Row],[Income]]&lt;=60000,"Middle Income",IF(Sales_Data[[#This Row],[Income]]&lt;=80000,"Upper Middle","High Income"))))</f>
        <v>High Income</v>
      </c>
      <c r="F891">
        <v>4</v>
      </c>
      <c r="G891" t="s">
        <v>45</v>
      </c>
      <c r="H891" t="s">
        <v>46</v>
      </c>
      <c r="I891" t="s">
        <v>21</v>
      </c>
      <c r="J891">
        <v>4</v>
      </c>
      <c r="K891" t="s">
        <v>22</v>
      </c>
      <c r="L891" t="s">
        <v>37</v>
      </c>
      <c r="M891">
        <v>31</v>
      </c>
      <c r="N891" t="s">
        <v>38</v>
      </c>
      <c r="O891" t="s">
        <v>54</v>
      </c>
      <c r="P891" s="2">
        <v>8809.0400000000009</v>
      </c>
      <c r="Q891" t="s">
        <v>57</v>
      </c>
      <c r="R891" s="1">
        <v>45218</v>
      </c>
      <c r="S891" s="1"/>
    </row>
    <row r="892" spans="1:19" x14ac:dyDescent="0.3">
      <c r="A892">
        <v>17191</v>
      </c>
      <c r="B892" t="s">
        <v>35</v>
      </c>
      <c r="C892" t="s">
        <v>17</v>
      </c>
      <c r="D892">
        <v>130000</v>
      </c>
      <c r="E892" t="str">
        <f>IF(Sales_Data[[#This Row],[Income]]&lt;=20000,"Low Income",IF(Sales_Data[[#This Row],[Income]]&lt;=40000,"Lower Middle",IF(Sales_Data[[#This Row],[Income]]&lt;=60000,"Middle Income",IF(Sales_Data[[#This Row],[Income]]&lt;=80000,"Upper Middle","High Income"))))</f>
        <v>High Income</v>
      </c>
      <c r="F892">
        <v>3</v>
      </c>
      <c r="G892" t="s">
        <v>27</v>
      </c>
      <c r="H892" t="s">
        <v>31</v>
      </c>
      <c r="I892" t="s">
        <v>32</v>
      </c>
      <c r="J892">
        <v>3</v>
      </c>
      <c r="K892" t="s">
        <v>22</v>
      </c>
      <c r="L892" t="s">
        <v>23</v>
      </c>
      <c r="M892">
        <v>51</v>
      </c>
      <c r="N892" t="s">
        <v>24</v>
      </c>
      <c r="O892" t="s">
        <v>55</v>
      </c>
      <c r="P892" s="2">
        <v>4020.03</v>
      </c>
      <c r="Q892" t="s">
        <v>51</v>
      </c>
      <c r="R892" s="1">
        <v>45094</v>
      </c>
      <c r="S892" s="1"/>
    </row>
    <row r="893" spans="1:19" x14ac:dyDescent="0.3">
      <c r="A893">
        <v>17197</v>
      </c>
      <c r="B893" t="s">
        <v>35</v>
      </c>
      <c r="C893" t="s">
        <v>18</v>
      </c>
      <c r="D893">
        <v>90000</v>
      </c>
      <c r="E893" t="str">
        <f>IF(Sales_Data[[#This Row],[Income]]&lt;=20000,"Low Income",IF(Sales_Data[[#This Row],[Income]]&lt;=40000,"Lower Middle",IF(Sales_Data[[#This Row],[Income]]&lt;=60000,"Middle Income",IF(Sales_Data[[#This Row],[Income]]&lt;=80000,"Upper Middle","High Income"))))</f>
        <v>High Income</v>
      </c>
      <c r="F893">
        <v>5</v>
      </c>
      <c r="G893" t="s">
        <v>27</v>
      </c>
      <c r="H893" t="s">
        <v>31</v>
      </c>
      <c r="I893" t="s">
        <v>21</v>
      </c>
      <c r="J893">
        <v>2</v>
      </c>
      <c r="K893" t="s">
        <v>53</v>
      </c>
      <c r="L893" t="s">
        <v>23</v>
      </c>
      <c r="M893">
        <v>62</v>
      </c>
      <c r="N893" t="s">
        <v>24</v>
      </c>
      <c r="O893" t="s">
        <v>29</v>
      </c>
      <c r="P893" s="2">
        <v>8415.9500000000007</v>
      </c>
      <c r="Q893" t="s">
        <v>44</v>
      </c>
      <c r="R893" s="1">
        <v>44944</v>
      </c>
      <c r="S893" s="1"/>
    </row>
    <row r="894" spans="1:19" x14ac:dyDescent="0.3">
      <c r="A894">
        <v>29191</v>
      </c>
      <c r="B894" t="s">
        <v>35</v>
      </c>
      <c r="C894" t="s">
        <v>18</v>
      </c>
      <c r="D894">
        <v>130000</v>
      </c>
      <c r="E894" t="str">
        <f>IF(Sales_Data[[#This Row],[Income]]&lt;=20000,"Low Income",IF(Sales_Data[[#This Row],[Income]]&lt;=40000,"Lower Middle",IF(Sales_Data[[#This Row],[Income]]&lt;=60000,"Middle Income",IF(Sales_Data[[#This Row],[Income]]&lt;=80000,"Upper Middle","High Income"))))</f>
        <v>High Income</v>
      </c>
      <c r="F894">
        <v>1</v>
      </c>
      <c r="G894" t="s">
        <v>61</v>
      </c>
      <c r="H894" t="s">
        <v>46</v>
      </c>
      <c r="I894" t="s">
        <v>32</v>
      </c>
      <c r="J894">
        <v>1</v>
      </c>
      <c r="K894" t="s">
        <v>22</v>
      </c>
      <c r="L894" t="s">
        <v>37</v>
      </c>
      <c r="M894">
        <v>36</v>
      </c>
      <c r="N894" t="s">
        <v>38</v>
      </c>
      <c r="O894" t="s">
        <v>41</v>
      </c>
      <c r="P894" s="2">
        <v>9393.25</v>
      </c>
      <c r="Q894" t="s">
        <v>52</v>
      </c>
      <c r="R894" s="1">
        <v>44967</v>
      </c>
      <c r="S894" s="1"/>
    </row>
    <row r="895" spans="1:19" x14ac:dyDescent="0.3">
      <c r="A895">
        <v>15922</v>
      </c>
      <c r="B895" t="s">
        <v>17</v>
      </c>
      <c r="C895" t="s">
        <v>17</v>
      </c>
      <c r="D895">
        <v>150000</v>
      </c>
      <c r="E895" t="str">
        <f>IF(Sales_Data[[#This Row],[Income]]&lt;=20000,"Low Income",IF(Sales_Data[[#This Row],[Income]]&lt;=40000,"Lower Middle",IF(Sales_Data[[#This Row],[Income]]&lt;=60000,"Middle Income",IF(Sales_Data[[#This Row],[Income]]&lt;=80000,"Upper Middle","High Income"))))</f>
        <v>High Income</v>
      </c>
      <c r="F895">
        <v>2</v>
      </c>
      <c r="G895" t="s">
        <v>45</v>
      </c>
      <c r="H895" t="s">
        <v>31</v>
      </c>
      <c r="I895" t="s">
        <v>21</v>
      </c>
      <c r="J895">
        <v>4</v>
      </c>
      <c r="K895" t="s">
        <v>22</v>
      </c>
      <c r="L895" t="s">
        <v>23</v>
      </c>
      <c r="M895">
        <v>48</v>
      </c>
      <c r="N895" t="s">
        <v>24</v>
      </c>
      <c r="O895" t="s">
        <v>25</v>
      </c>
      <c r="P895" s="2">
        <v>8281.51</v>
      </c>
      <c r="Q895" t="s">
        <v>56</v>
      </c>
      <c r="R895" s="1">
        <v>45187</v>
      </c>
      <c r="S895" s="1"/>
    </row>
    <row r="896" spans="1:19" x14ac:dyDescent="0.3">
      <c r="A896">
        <v>23627</v>
      </c>
      <c r="B896" t="s">
        <v>35</v>
      </c>
      <c r="C896" t="s">
        <v>18</v>
      </c>
      <c r="D896">
        <v>100000</v>
      </c>
      <c r="E896" t="str">
        <f>IF(Sales_Data[[#This Row],[Income]]&lt;=20000,"Low Income",IF(Sales_Data[[#This Row],[Income]]&lt;=40000,"Lower Middle",IF(Sales_Data[[#This Row],[Income]]&lt;=60000,"Middle Income",IF(Sales_Data[[#This Row],[Income]]&lt;=80000,"Upper Middle","High Income"))))</f>
        <v>High Income</v>
      </c>
      <c r="F896">
        <v>3</v>
      </c>
      <c r="G896" t="s">
        <v>27</v>
      </c>
      <c r="H896" t="s">
        <v>46</v>
      </c>
      <c r="I896" t="s">
        <v>32</v>
      </c>
      <c r="J896">
        <v>4</v>
      </c>
      <c r="K896" t="s">
        <v>36</v>
      </c>
      <c r="L896" t="s">
        <v>23</v>
      </c>
      <c r="M896">
        <v>56</v>
      </c>
      <c r="N896" t="s">
        <v>38</v>
      </c>
      <c r="O896" t="s">
        <v>39</v>
      </c>
      <c r="P896" s="2">
        <v>423.22</v>
      </c>
      <c r="Q896" t="s">
        <v>44</v>
      </c>
      <c r="R896" s="1">
        <v>44948</v>
      </c>
      <c r="S896" s="1"/>
    </row>
    <row r="897" spans="1:19" x14ac:dyDescent="0.3">
      <c r="A897">
        <v>14192</v>
      </c>
      <c r="B897" t="s">
        <v>17</v>
      </c>
      <c r="C897" t="s">
        <v>17</v>
      </c>
      <c r="D897">
        <v>90000</v>
      </c>
      <c r="E897" t="str">
        <f>IF(Sales_Data[[#This Row],[Income]]&lt;=20000,"Low Income",IF(Sales_Data[[#This Row],[Income]]&lt;=40000,"Lower Middle",IF(Sales_Data[[#This Row],[Income]]&lt;=60000,"Middle Income",IF(Sales_Data[[#This Row],[Income]]&lt;=80000,"Upper Middle","High Income"))))</f>
        <v>High Income</v>
      </c>
      <c r="F897">
        <v>4</v>
      </c>
      <c r="G897" t="s">
        <v>45</v>
      </c>
      <c r="H897" t="s">
        <v>46</v>
      </c>
      <c r="I897" t="s">
        <v>21</v>
      </c>
      <c r="J897">
        <v>3</v>
      </c>
      <c r="K897" t="s">
        <v>36</v>
      </c>
      <c r="L897" t="s">
        <v>23</v>
      </c>
      <c r="M897">
        <v>56</v>
      </c>
      <c r="N897" t="s">
        <v>24</v>
      </c>
      <c r="O897" t="s">
        <v>55</v>
      </c>
      <c r="P897" s="2">
        <v>8202.52</v>
      </c>
      <c r="Q897" t="s">
        <v>52</v>
      </c>
      <c r="R897" s="1">
        <v>44982</v>
      </c>
      <c r="S897" s="1"/>
    </row>
    <row r="898" spans="1:19" x14ac:dyDescent="0.3">
      <c r="A898">
        <v>29117</v>
      </c>
      <c r="B898" t="s">
        <v>35</v>
      </c>
      <c r="C898" t="s">
        <v>17</v>
      </c>
      <c r="D898">
        <v>100000</v>
      </c>
      <c r="E898" t="str">
        <f>IF(Sales_Data[[#This Row],[Income]]&lt;=20000,"Low Income",IF(Sales_Data[[#This Row],[Income]]&lt;=40000,"Lower Middle",IF(Sales_Data[[#This Row],[Income]]&lt;=60000,"Middle Income",IF(Sales_Data[[#This Row],[Income]]&lt;=80000,"Upper Middle","High Income"))))</f>
        <v>High Income</v>
      </c>
      <c r="F898">
        <v>1</v>
      </c>
      <c r="G898" t="s">
        <v>19</v>
      </c>
      <c r="H898" t="s">
        <v>46</v>
      </c>
      <c r="I898" t="s">
        <v>32</v>
      </c>
      <c r="J898">
        <v>3</v>
      </c>
      <c r="K898" t="s">
        <v>22</v>
      </c>
      <c r="L898" t="s">
        <v>37</v>
      </c>
      <c r="M898">
        <v>48</v>
      </c>
      <c r="N898" t="s">
        <v>24</v>
      </c>
      <c r="O898" t="s">
        <v>29</v>
      </c>
      <c r="P898" s="2">
        <v>5144.3100000000004</v>
      </c>
      <c r="Q898" t="s">
        <v>48</v>
      </c>
      <c r="R898" s="1">
        <v>45155</v>
      </c>
      <c r="S898" s="1"/>
    </row>
    <row r="899" spans="1:19" x14ac:dyDescent="0.3">
      <c r="A899">
        <v>25058</v>
      </c>
      <c r="B899" t="s">
        <v>17</v>
      </c>
      <c r="C899" t="s">
        <v>17</v>
      </c>
      <c r="D899">
        <v>100000</v>
      </c>
      <c r="E899" t="str">
        <f>IF(Sales_Data[[#This Row],[Income]]&lt;=20000,"Low Income",IF(Sales_Data[[#This Row],[Income]]&lt;=40000,"Lower Middle",IF(Sales_Data[[#This Row],[Income]]&lt;=60000,"Middle Income",IF(Sales_Data[[#This Row],[Income]]&lt;=80000,"Upper Middle","High Income"))))</f>
        <v>High Income</v>
      </c>
      <c r="F899">
        <v>1</v>
      </c>
      <c r="G899" t="s">
        <v>19</v>
      </c>
      <c r="H899" t="s">
        <v>46</v>
      </c>
      <c r="I899" t="s">
        <v>21</v>
      </c>
      <c r="J899">
        <v>3</v>
      </c>
      <c r="K899" t="s">
        <v>33</v>
      </c>
      <c r="L899" t="s">
        <v>37</v>
      </c>
      <c r="M899">
        <v>47</v>
      </c>
      <c r="N899" t="s">
        <v>38</v>
      </c>
      <c r="O899" t="s">
        <v>62</v>
      </c>
      <c r="P899" s="2">
        <v>5014.04</v>
      </c>
      <c r="Q899" t="s">
        <v>57</v>
      </c>
      <c r="R899" s="1">
        <v>45216</v>
      </c>
      <c r="S899" s="1"/>
    </row>
    <row r="900" spans="1:19" x14ac:dyDescent="0.3">
      <c r="A900">
        <v>12664</v>
      </c>
      <c r="B900" t="s">
        <v>17</v>
      </c>
      <c r="C900" t="s">
        <v>18</v>
      </c>
      <c r="D900">
        <v>130000</v>
      </c>
      <c r="E900" t="str">
        <f>IF(Sales_Data[[#This Row],[Income]]&lt;=20000,"Low Income",IF(Sales_Data[[#This Row],[Income]]&lt;=40000,"Lower Middle",IF(Sales_Data[[#This Row],[Income]]&lt;=60000,"Middle Income",IF(Sales_Data[[#This Row],[Income]]&lt;=80000,"Upper Middle","High Income"))))</f>
        <v>High Income</v>
      </c>
      <c r="F900">
        <v>5</v>
      </c>
      <c r="G900" t="s">
        <v>27</v>
      </c>
      <c r="H900" t="s">
        <v>31</v>
      </c>
      <c r="I900" t="s">
        <v>21</v>
      </c>
      <c r="J900">
        <v>4</v>
      </c>
      <c r="K900" t="s">
        <v>22</v>
      </c>
      <c r="L900" t="s">
        <v>23</v>
      </c>
      <c r="M900">
        <v>59</v>
      </c>
      <c r="N900" t="s">
        <v>24</v>
      </c>
      <c r="O900" t="s">
        <v>49</v>
      </c>
      <c r="P900" s="2">
        <v>8891.9699999999993</v>
      </c>
      <c r="Q900" t="s">
        <v>52</v>
      </c>
      <c r="R900" s="1">
        <v>44984</v>
      </c>
      <c r="S900" s="1"/>
    </row>
    <row r="901" spans="1:19" x14ac:dyDescent="0.3">
      <c r="A901">
        <v>26757</v>
      </c>
      <c r="B901" t="s">
        <v>35</v>
      </c>
      <c r="C901" t="s">
        <v>17</v>
      </c>
      <c r="D901">
        <v>90000</v>
      </c>
      <c r="E901" t="str">
        <f>IF(Sales_Data[[#This Row],[Income]]&lt;=20000,"Low Income",IF(Sales_Data[[#This Row],[Income]]&lt;=40000,"Lower Middle",IF(Sales_Data[[#This Row],[Income]]&lt;=60000,"Middle Income",IF(Sales_Data[[#This Row],[Income]]&lt;=80000,"Upper Middle","High Income"))))</f>
        <v>High Income</v>
      </c>
      <c r="F901">
        <v>1</v>
      </c>
      <c r="G901" t="s">
        <v>19</v>
      </c>
      <c r="H901" t="s">
        <v>31</v>
      </c>
      <c r="I901" t="s">
        <v>21</v>
      </c>
      <c r="J901">
        <v>1</v>
      </c>
      <c r="K901" t="s">
        <v>33</v>
      </c>
      <c r="L901" t="s">
        <v>37</v>
      </c>
      <c r="M901">
        <v>47</v>
      </c>
      <c r="N901" t="s">
        <v>24</v>
      </c>
      <c r="O901" t="s">
        <v>29</v>
      </c>
      <c r="P901" s="2">
        <v>296.81</v>
      </c>
      <c r="Q901" t="s">
        <v>52</v>
      </c>
      <c r="R901" s="1">
        <v>44960</v>
      </c>
      <c r="S901" s="1"/>
    </row>
    <row r="902" spans="1:19" x14ac:dyDescent="0.3">
      <c r="A902">
        <v>14233</v>
      </c>
      <c r="B902" t="s">
        <v>35</v>
      </c>
      <c r="C902" t="s">
        <v>17</v>
      </c>
      <c r="D902">
        <v>100000</v>
      </c>
      <c r="E902" t="str">
        <f>IF(Sales_Data[[#This Row],[Income]]&lt;=20000,"Low Income",IF(Sales_Data[[#This Row],[Income]]&lt;=40000,"Lower Middle",IF(Sales_Data[[#This Row],[Income]]&lt;=60000,"Middle Income",IF(Sales_Data[[#This Row],[Income]]&lt;=80000,"Upper Middle","High Income"))))</f>
        <v>High Income</v>
      </c>
      <c r="F902">
        <v>0</v>
      </c>
      <c r="G902" t="s">
        <v>45</v>
      </c>
      <c r="H902" t="s">
        <v>46</v>
      </c>
      <c r="I902" t="s">
        <v>21</v>
      </c>
      <c r="J902">
        <v>3</v>
      </c>
      <c r="K902" t="s">
        <v>53</v>
      </c>
      <c r="L902" t="s">
        <v>37</v>
      </c>
      <c r="M902">
        <v>35</v>
      </c>
      <c r="N902" t="s">
        <v>38</v>
      </c>
      <c r="O902" t="s">
        <v>39</v>
      </c>
      <c r="P902" s="2">
        <v>7168.17</v>
      </c>
      <c r="Q902" t="s">
        <v>60</v>
      </c>
      <c r="R902" s="1">
        <v>45243</v>
      </c>
      <c r="S902" s="1"/>
    </row>
    <row r="903" spans="1:19" x14ac:dyDescent="0.3">
      <c r="A903">
        <v>17203</v>
      </c>
      <c r="B903" t="s">
        <v>17</v>
      </c>
      <c r="C903" t="s">
        <v>18</v>
      </c>
      <c r="D903">
        <v>130000</v>
      </c>
      <c r="E903" t="str">
        <f>IF(Sales_Data[[#This Row],[Income]]&lt;=20000,"Low Income",IF(Sales_Data[[#This Row],[Income]]&lt;=40000,"Lower Middle",IF(Sales_Data[[#This Row],[Income]]&lt;=60000,"Middle Income",IF(Sales_Data[[#This Row],[Income]]&lt;=80000,"Upper Middle","High Income"))))</f>
        <v>High Income</v>
      </c>
      <c r="F903">
        <v>4</v>
      </c>
      <c r="G903" t="s">
        <v>27</v>
      </c>
      <c r="H903" t="s">
        <v>31</v>
      </c>
      <c r="I903" t="s">
        <v>21</v>
      </c>
      <c r="J903">
        <v>4</v>
      </c>
      <c r="K903" t="s">
        <v>36</v>
      </c>
      <c r="L903" t="s">
        <v>23</v>
      </c>
      <c r="M903">
        <v>61</v>
      </c>
      <c r="N903" t="s">
        <v>38</v>
      </c>
      <c r="O903" t="s">
        <v>39</v>
      </c>
      <c r="P903" s="2">
        <v>1022.8</v>
      </c>
      <c r="Q903" t="s">
        <v>60</v>
      </c>
      <c r="R903" s="1">
        <v>45252</v>
      </c>
      <c r="S903" s="1"/>
    </row>
    <row r="904" spans="1:19" x14ac:dyDescent="0.3">
      <c r="A904">
        <v>27304</v>
      </c>
      <c r="B904" t="s">
        <v>35</v>
      </c>
      <c r="C904" t="s">
        <v>18</v>
      </c>
      <c r="D904">
        <v>110000</v>
      </c>
      <c r="E904" t="str">
        <f>IF(Sales_Data[[#This Row],[Income]]&lt;=20000,"Low Income",IF(Sales_Data[[#This Row],[Income]]&lt;=40000,"Lower Middle",IF(Sales_Data[[#This Row],[Income]]&lt;=60000,"Middle Income",IF(Sales_Data[[#This Row],[Income]]&lt;=80000,"Upper Middle","High Income"))))</f>
        <v>High Income</v>
      </c>
      <c r="F904">
        <v>2</v>
      </c>
      <c r="G904" t="s">
        <v>27</v>
      </c>
      <c r="H904" t="s">
        <v>31</v>
      </c>
      <c r="I904" t="s">
        <v>32</v>
      </c>
      <c r="J904">
        <v>3</v>
      </c>
      <c r="K904" t="s">
        <v>36</v>
      </c>
      <c r="L904" t="s">
        <v>23</v>
      </c>
      <c r="M904">
        <v>48</v>
      </c>
      <c r="N904" t="s">
        <v>24</v>
      </c>
      <c r="O904" t="s">
        <v>34</v>
      </c>
      <c r="P904" s="2">
        <v>8573.59</v>
      </c>
      <c r="Q904" t="s">
        <v>44</v>
      </c>
      <c r="R904" s="1">
        <v>44937</v>
      </c>
      <c r="S904" s="1"/>
    </row>
    <row r="905" spans="1:19" x14ac:dyDescent="0.3">
      <c r="A905">
        <v>14191</v>
      </c>
      <c r="B905" t="s">
        <v>17</v>
      </c>
      <c r="C905" t="s">
        <v>17</v>
      </c>
      <c r="D905">
        <v>160000</v>
      </c>
      <c r="E905" t="str">
        <f>IF(Sales_Data[[#This Row],[Income]]&lt;=20000,"Low Income",IF(Sales_Data[[#This Row],[Income]]&lt;=40000,"Lower Middle",IF(Sales_Data[[#This Row],[Income]]&lt;=60000,"Middle Income",IF(Sales_Data[[#This Row],[Income]]&lt;=80000,"Upper Middle","High Income"))))</f>
        <v>High Income</v>
      </c>
      <c r="F905">
        <v>4</v>
      </c>
      <c r="G905" t="s">
        <v>27</v>
      </c>
      <c r="H905" t="s">
        <v>31</v>
      </c>
      <c r="I905" t="s">
        <v>32</v>
      </c>
      <c r="J905">
        <v>2</v>
      </c>
      <c r="K905" t="s">
        <v>53</v>
      </c>
      <c r="L905" t="s">
        <v>23</v>
      </c>
      <c r="M905">
        <v>55</v>
      </c>
      <c r="N905" t="s">
        <v>38</v>
      </c>
      <c r="O905" t="s">
        <v>47</v>
      </c>
      <c r="P905" s="2">
        <v>7524.03</v>
      </c>
      <c r="Q905" t="s">
        <v>44</v>
      </c>
      <c r="R905" s="1">
        <v>44943</v>
      </c>
      <c r="S905" s="1"/>
    </row>
    <row r="906" spans="1:19" x14ac:dyDescent="0.3">
      <c r="A906">
        <v>28918</v>
      </c>
      <c r="B906" t="s">
        <v>17</v>
      </c>
      <c r="C906" t="s">
        <v>18</v>
      </c>
      <c r="D906">
        <v>130000</v>
      </c>
      <c r="E906" t="str">
        <f>IF(Sales_Data[[#This Row],[Income]]&lt;=20000,"Low Income",IF(Sales_Data[[#This Row],[Income]]&lt;=40000,"Lower Middle",IF(Sales_Data[[#This Row],[Income]]&lt;=60000,"Middle Income",IF(Sales_Data[[#This Row],[Income]]&lt;=80000,"Upper Middle","High Income"))))</f>
        <v>High Income</v>
      </c>
      <c r="F906">
        <v>4</v>
      </c>
      <c r="G906" t="s">
        <v>45</v>
      </c>
      <c r="H906" t="s">
        <v>46</v>
      </c>
      <c r="I906" t="s">
        <v>32</v>
      </c>
      <c r="J906">
        <v>4</v>
      </c>
      <c r="K906" t="s">
        <v>53</v>
      </c>
      <c r="L906" t="s">
        <v>23</v>
      </c>
      <c r="M906">
        <v>58</v>
      </c>
      <c r="N906" t="s">
        <v>38</v>
      </c>
      <c r="O906" t="s">
        <v>41</v>
      </c>
      <c r="P906" s="2">
        <v>558.92999999999995</v>
      </c>
      <c r="Q906" t="s">
        <v>44</v>
      </c>
      <c r="R906" s="1">
        <v>44936</v>
      </c>
      <c r="S906" s="1"/>
    </row>
    <row r="907" spans="1:19" x14ac:dyDescent="0.3">
      <c r="A907">
        <v>15799</v>
      </c>
      <c r="B907" t="s">
        <v>17</v>
      </c>
      <c r="C907" t="s">
        <v>18</v>
      </c>
      <c r="D907">
        <v>90000</v>
      </c>
      <c r="E907" t="str">
        <f>IF(Sales_Data[[#This Row],[Income]]&lt;=20000,"Low Income",IF(Sales_Data[[#This Row],[Income]]&lt;=40000,"Lower Middle",IF(Sales_Data[[#This Row],[Income]]&lt;=60000,"Middle Income",IF(Sales_Data[[#This Row],[Income]]&lt;=80000,"Upper Middle","High Income"))))</f>
        <v>High Income</v>
      </c>
      <c r="F907">
        <v>1</v>
      </c>
      <c r="G907" t="s">
        <v>19</v>
      </c>
      <c r="H907" t="s">
        <v>31</v>
      </c>
      <c r="I907" t="s">
        <v>21</v>
      </c>
      <c r="J907">
        <v>1</v>
      </c>
      <c r="K907" t="s">
        <v>33</v>
      </c>
      <c r="L907" t="s">
        <v>37</v>
      </c>
      <c r="M907">
        <v>47</v>
      </c>
      <c r="N907" t="s">
        <v>38</v>
      </c>
      <c r="O907" t="s">
        <v>62</v>
      </c>
      <c r="P907" s="2">
        <v>2061.06</v>
      </c>
      <c r="Q907" t="s">
        <v>40</v>
      </c>
      <c r="R907" s="1">
        <v>45054</v>
      </c>
      <c r="S907" s="1"/>
    </row>
    <row r="908" spans="1:19" x14ac:dyDescent="0.3">
      <c r="A908">
        <v>26944</v>
      </c>
      <c r="B908" t="s">
        <v>35</v>
      </c>
      <c r="C908" t="s">
        <v>17</v>
      </c>
      <c r="D908">
        <v>90000</v>
      </c>
      <c r="E908" t="str">
        <f>IF(Sales_Data[[#This Row],[Income]]&lt;=20000,"Low Income",IF(Sales_Data[[#This Row],[Income]]&lt;=40000,"Lower Middle",IF(Sales_Data[[#This Row],[Income]]&lt;=60000,"Middle Income",IF(Sales_Data[[#This Row],[Income]]&lt;=80000,"Upper Middle","High Income"))))</f>
        <v>High Income</v>
      </c>
      <c r="F908">
        <v>2</v>
      </c>
      <c r="G908" t="s">
        <v>45</v>
      </c>
      <c r="H908" t="s">
        <v>42</v>
      </c>
      <c r="I908" t="s">
        <v>21</v>
      </c>
      <c r="J908">
        <v>0</v>
      </c>
      <c r="K908" t="s">
        <v>22</v>
      </c>
      <c r="L908" t="s">
        <v>23</v>
      </c>
      <c r="M908">
        <v>36</v>
      </c>
      <c r="N908" t="s">
        <v>38</v>
      </c>
      <c r="O908" t="s">
        <v>62</v>
      </c>
      <c r="P908" s="2">
        <v>7433.75</v>
      </c>
      <c r="Q908" t="s">
        <v>48</v>
      </c>
      <c r="R908" s="1">
        <v>45153</v>
      </c>
      <c r="S908" s="1"/>
    </row>
    <row r="909" spans="1:19" x14ac:dyDescent="0.3">
      <c r="A909">
        <v>15214</v>
      </c>
      <c r="B909" t="s">
        <v>35</v>
      </c>
      <c r="C909" t="s">
        <v>18</v>
      </c>
      <c r="D909">
        <v>100000</v>
      </c>
      <c r="E909" t="str">
        <f>IF(Sales_Data[[#This Row],[Income]]&lt;=20000,"Low Income",IF(Sales_Data[[#This Row],[Income]]&lt;=40000,"Lower Middle",IF(Sales_Data[[#This Row],[Income]]&lt;=60000,"Middle Income",IF(Sales_Data[[#This Row],[Income]]&lt;=80000,"Upper Middle","High Income"))))</f>
        <v>High Income</v>
      </c>
      <c r="F909">
        <v>0</v>
      </c>
      <c r="G909" t="s">
        <v>61</v>
      </c>
      <c r="H909" t="s">
        <v>46</v>
      </c>
      <c r="I909" t="s">
        <v>32</v>
      </c>
      <c r="J909">
        <v>1</v>
      </c>
      <c r="K909" t="s">
        <v>43</v>
      </c>
      <c r="L909" t="s">
        <v>37</v>
      </c>
      <c r="M909">
        <v>39</v>
      </c>
      <c r="N909" t="s">
        <v>24</v>
      </c>
      <c r="O909" t="s">
        <v>29</v>
      </c>
      <c r="P909" s="2">
        <v>3072.11</v>
      </c>
      <c r="Q909" t="s">
        <v>51</v>
      </c>
      <c r="R909" s="1">
        <v>45101</v>
      </c>
      <c r="S909" s="1"/>
    </row>
    <row r="910" spans="1:19" x14ac:dyDescent="0.3">
      <c r="A910">
        <v>24842</v>
      </c>
      <c r="B910" t="s">
        <v>35</v>
      </c>
      <c r="C910" t="s">
        <v>18</v>
      </c>
      <c r="D910">
        <v>90000</v>
      </c>
      <c r="E910" t="str">
        <f>IF(Sales_Data[[#This Row],[Income]]&lt;=20000,"Low Income",IF(Sales_Data[[#This Row],[Income]]&lt;=40000,"Lower Middle",IF(Sales_Data[[#This Row],[Income]]&lt;=60000,"Middle Income",IF(Sales_Data[[#This Row],[Income]]&lt;=80000,"Upper Middle","High Income"))))</f>
        <v>High Income</v>
      </c>
      <c r="F910">
        <v>3</v>
      </c>
      <c r="G910" t="s">
        <v>45</v>
      </c>
      <c r="H910" t="s">
        <v>31</v>
      </c>
      <c r="I910" t="s">
        <v>32</v>
      </c>
      <c r="J910">
        <v>1</v>
      </c>
      <c r="K910" t="s">
        <v>33</v>
      </c>
      <c r="L910" t="s">
        <v>23</v>
      </c>
      <c r="M910">
        <v>51</v>
      </c>
      <c r="N910" t="s">
        <v>24</v>
      </c>
      <c r="O910" t="s">
        <v>29</v>
      </c>
      <c r="P910" s="2">
        <v>1942.82</v>
      </c>
      <c r="Q910" t="s">
        <v>51</v>
      </c>
      <c r="R910" s="1">
        <v>45103</v>
      </c>
      <c r="S910" s="1"/>
    </row>
    <row r="911" spans="1:19" x14ac:dyDescent="0.3">
      <c r="A911">
        <v>11415</v>
      </c>
      <c r="B911" t="s">
        <v>35</v>
      </c>
      <c r="C911" t="s">
        <v>17</v>
      </c>
      <c r="D911">
        <v>90000</v>
      </c>
      <c r="E911" t="str">
        <f>IF(Sales_Data[[#This Row],[Income]]&lt;=20000,"Low Income",IF(Sales_Data[[#This Row],[Income]]&lt;=40000,"Lower Middle",IF(Sales_Data[[#This Row],[Income]]&lt;=60000,"Middle Income",IF(Sales_Data[[#This Row],[Income]]&lt;=80000,"Upper Middle","High Income"))))</f>
        <v>High Income</v>
      </c>
      <c r="F911">
        <v>5</v>
      </c>
      <c r="G911" t="s">
        <v>27</v>
      </c>
      <c r="H911" t="s">
        <v>31</v>
      </c>
      <c r="I911" t="s">
        <v>32</v>
      </c>
      <c r="J911">
        <v>2</v>
      </c>
      <c r="K911" t="s">
        <v>53</v>
      </c>
      <c r="L911" t="s">
        <v>23</v>
      </c>
      <c r="M911">
        <v>62</v>
      </c>
      <c r="N911" t="s">
        <v>38</v>
      </c>
      <c r="O911" t="s">
        <v>41</v>
      </c>
      <c r="P911" s="2">
        <v>2693.99</v>
      </c>
      <c r="Q911" t="s">
        <v>59</v>
      </c>
      <c r="R911" s="1">
        <v>45025</v>
      </c>
      <c r="S911" s="1"/>
    </row>
    <row r="912" spans="1:19" x14ac:dyDescent="0.3">
      <c r="A912">
        <v>22830</v>
      </c>
      <c r="B912" t="s">
        <v>17</v>
      </c>
      <c r="C912" t="s">
        <v>17</v>
      </c>
      <c r="D912">
        <v>120000</v>
      </c>
      <c r="E912" t="str">
        <f>IF(Sales_Data[[#This Row],[Income]]&lt;=20000,"Low Income",IF(Sales_Data[[#This Row],[Income]]&lt;=40000,"Lower Middle",IF(Sales_Data[[#This Row],[Income]]&lt;=60000,"Middle Income",IF(Sales_Data[[#This Row],[Income]]&lt;=80000,"Upper Middle","High Income"))))</f>
        <v>High Income</v>
      </c>
      <c r="F912">
        <v>4</v>
      </c>
      <c r="G912" t="s">
        <v>27</v>
      </c>
      <c r="H912" t="s">
        <v>46</v>
      </c>
      <c r="I912" t="s">
        <v>21</v>
      </c>
      <c r="J912">
        <v>3</v>
      </c>
      <c r="K912" t="s">
        <v>53</v>
      </c>
      <c r="L912" t="s">
        <v>23</v>
      </c>
      <c r="M912">
        <v>56</v>
      </c>
      <c r="N912" t="s">
        <v>24</v>
      </c>
      <c r="O912" t="s">
        <v>34</v>
      </c>
      <c r="P912" s="2">
        <v>8350.69</v>
      </c>
      <c r="Q912" t="s">
        <v>56</v>
      </c>
      <c r="R912" s="1">
        <v>45173</v>
      </c>
      <c r="S912" s="1"/>
    </row>
    <row r="913" spans="1:19" x14ac:dyDescent="0.3">
      <c r="A913">
        <v>24611</v>
      </c>
      <c r="B913" t="s">
        <v>35</v>
      </c>
      <c r="C913" t="s">
        <v>17</v>
      </c>
      <c r="D913">
        <v>90000</v>
      </c>
      <c r="E913" t="str">
        <f>IF(Sales_Data[[#This Row],[Income]]&lt;=20000,"Low Income",IF(Sales_Data[[#This Row],[Income]]&lt;=40000,"Lower Middle",IF(Sales_Data[[#This Row],[Income]]&lt;=60000,"Middle Income",IF(Sales_Data[[#This Row],[Income]]&lt;=80000,"Upper Middle","High Income"))))</f>
        <v>High Income</v>
      </c>
      <c r="F913">
        <v>0</v>
      </c>
      <c r="G913" t="s">
        <v>19</v>
      </c>
      <c r="H913" t="s">
        <v>31</v>
      </c>
      <c r="I913" t="s">
        <v>32</v>
      </c>
      <c r="J913">
        <v>4</v>
      </c>
      <c r="K913" t="s">
        <v>53</v>
      </c>
      <c r="L913" t="s">
        <v>37</v>
      </c>
      <c r="M913">
        <v>35</v>
      </c>
      <c r="N913" t="s">
        <v>24</v>
      </c>
      <c r="O913" t="s">
        <v>29</v>
      </c>
      <c r="P913" s="2">
        <v>4984.8900000000003</v>
      </c>
      <c r="Q913" t="s">
        <v>52</v>
      </c>
      <c r="R913" s="1">
        <v>44984</v>
      </c>
      <c r="S913" s="1"/>
    </row>
    <row r="914" spans="1:19" x14ac:dyDescent="0.3">
      <c r="A914">
        <v>19057</v>
      </c>
      <c r="B914" t="s">
        <v>17</v>
      </c>
      <c r="C914" t="s">
        <v>18</v>
      </c>
      <c r="D914">
        <v>120000</v>
      </c>
      <c r="E914" t="str">
        <f>IF(Sales_Data[[#This Row],[Income]]&lt;=20000,"Low Income",IF(Sales_Data[[#This Row],[Income]]&lt;=40000,"Lower Middle",IF(Sales_Data[[#This Row],[Income]]&lt;=60000,"Middle Income",IF(Sales_Data[[#This Row],[Income]]&lt;=80000,"Upper Middle","High Income"))))</f>
        <v>High Income</v>
      </c>
      <c r="F914">
        <v>3</v>
      </c>
      <c r="G914" t="s">
        <v>19</v>
      </c>
      <c r="H914" t="s">
        <v>46</v>
      </c>
      <c r="I914" t="s">
        <v>32</v>
      </c>
      <c r="J914">
        <v>2</v>
      </c>
      <c r="K914" t="s">
        <v>53</v>
      </c>
      <c r="L914" t="s">
        <v>23</v>
      </c>
      <c r="M914">
        <v>52</v>
      </c>
      <c r="N914" t="s">
        <v>24</v>
      </c>
      <c r="O914" t="s">
        <v>29</v>
      </c>
      <c r="P914" s="2">
        <v>852.21</v>
      </c>
      <c r="Q914" t="s">
        <v>58</v>
      </c>
      <c r="R914" s="1">
        <v>45135</v>
      </c>
      <c r="S914" s="1"/>
    </row>
    <row r="915" spans="1:19" x14ac:dyDescent="0.3">
      <c r="A915">
        <v>18494</v>
      </c>
      <c r="B915" t="s">
        <v>17</v>
      </c>
      <c r="C915" t="s">
        <v>17</v>
      </c>
      <c r="D915">
        <v>110000</v>
      </c>
      <c r="E915" t="str">
        <f>IF(Sales_Data[[#This Row],[Income]]&lt;=20000,"Low Income",IF(Sales_Data[[#This Row],[Income]]&lt;=40000,"Lower Middle",IF(Sales_Data[[#This Row],[Income]]&lt;=60000,"Middle Income",IF(Sales_Data[[#This Row],[Income]]&lt;=80000,"Upper Middle","High Income"))))</f>
        <v>High Income</v>
      </c>
      <c r="F915">
        <v>5</v>
      </c>
      <c r="G915" t="s">
        <v>19</v>
      </c>
      <c r="H915" t="s">
        <v>46</v>
      </c>
      <c r="I915" t="s">
        <v>21</v>
      </c>
      <c r="J915">
        <v>4</v>
      </c>
      <c r="K915" t="s">
        <v>33</v>
      </c>
      <c r="L915" t="s">
        <v>37</v>
      </c>
      <c r="M915">
        <v>48</v>
      </c>
      <c r="N915" t="s">
        <v>24</v>
      </c>
      <c r="O915" t="s">
        <v>29</v>
      </c>
      <c r="P915" s="2">
        <v>417.54</v>
      </c>
      <c r="Q915" t="s">
        <v>26</v>
      </c>
      <c r="R915" s="1">
        <v>45277</v>
      </c>
      <c r="S915" s="1"/>
    </row>
    <row r="916" spans="1:19" x14ac:dyDescent="0.3">
      <c r="A916">
        <v>11249</v>
      </c>
      <c r="B916" t="s">
        <v>17</v>
      </c>
      <c r="C916" t="s">
        <v>18</v>
      </c>
      <c r="D916">
        <v>130000</v>
      </c>
      <c r="E916" t="str">
        <f>IF(Sales_Data[[#This Row],[Income]]&lt;=20000,"Low Income",IF(Sales_Data[[#This Row],[Income]]&lt;=40000,"Lower Middle",IF(Sales_Data[[#This Row],[Income]]&lt;=60000,"Middle Income",IF(Sales_Data[[#This Row],[Income]]&lt;=80000,"Upper Middle","High Income"))))</f>
        <v>High Income</v>
      </c>
      <c r="F916">
        <v>3</v>
      </c>
      <c r="G916" t="s">
        <v>27</v>
      </c>
      <c r="H916" t="s">
        <v>31</v>
      </c>
      <c r="I916" t="s">
        <v>21</v>
      </c>
      <c r="J916">
        <v>3</v>
      </c>
      <c r="K916" t="s">
        <v>22</v>
      </c>
      <c r="L916" t="s">
        <v>23</v>
      </c>
      <c r="M916">
        <v>51</v>
      </c>
      <c r="N916" t="s">
        <v>24</v>
      </c>
      <c r="O916" t="s">
        <v>34</v>
      </c>
      <c r="P916" s="2">
        <v>3142.07</v>
      </c>
      <c r="Q916" t="s">
        <v>57</v>
      </c>
      <c r="R916" s="1">
        <v>45227</v>
      </c>
      <c r="S916" s="1"/>
    </row>
    <row r="917" spans="1:19" x14ac:dyDescent="0.3">
      <c r="A917">
        <v>21568</v>
      </c>
      <c r="B917" t="s">
        <v>17</v>
      </c>
      <c r="C917" t="s">
        <v>18</v>
      </c>
      <c r="D917">
        <v>100000</v>
      </c>
      <c r="E917" t="str">
        <f>IF(Sales_Data[[#This Row],[Income]]&lt;=20000,"Low Income",IF(Sales_Data[[#This Row],[Income]]&lt;=40000,"Lower Middle",IF(Sales_Data[[#This Row],[Income]]&lt;=60000,"Middle Income",IF(Sales_Data[[#This Row],[Income]]&lt;=80000,"Upper Middle","High Income"))))</f>
        <v>High Income</v>
      </c>
      <c r="F917">
        <v>0</v>
      </c>
      <c r="G917" t="s">
        <v>45</v>
      </c>
      <c r="H917" t="s">
        <v>46</v>
      </c>
      <c r="I917" t="s">
        <v>21</v>
      </c>
      <c r="J917">
        <v>4</v>
      </c>
      <c r="K917" t="s">
        <v>53</v>
      </c>
      <c r="L917" t="s">
        <v>37</v>
      </c>
      <c r="M917">
        <v>34</v>
      </c>
      <c r="N917" t="s">
        <v>24</v>
      </c>
      <c r="O917" t="s">
        <v>25</v>
      </c>
      <c r="P917" s="2">
        <v>4288.5</v>
      </c>
      <c r="Q917" t="s">
        <v>56</v>
      </c>
      <c r="R917" s="1">
        <v>45190</v>
      </c>
      <c r="S917" s="1"/>
    </row>
    <row r="918" spans="1:19" x14ac:dyDescent="0.3">
      <c r="A918">
        <v>22931</v>
      </c>
      <c r="B918" t="s">
        <v>17</v>
      </c>
      <c r="C918" t="s">
        <v>17</v>
      </c>
      <c r="D918">
        <v>100000</v>
      </c>
      <c r="E918" t="str">
        <f>IF(Sales_Data[[#This Row],[Income]]&lt;=20000,"Low Income",IF(Sales_Data[[#This Row],[Income]]&lt;=40000,"Lower Middle",IF(Sales_Data[[#This Row],[Income]]&lt;=60000,"Middle Income",IF(Sales_Data[[#This Row],[Income]]&lt;=80000,"Upper Middle","High Income"))))</f>
        <v>High Income</v>
      </c>
      <c r="F918">
        <v>5</v>
      </c>
      <c r="G918" t="s">
        <v>61</v>
      </c>
      <c r="H918" t="s">
        <v>46</v>
      </c>
      <c r="I918" t="s">
        <v>32</v>
      </c>
      <c r="J918">
        <v>1</v>
      </c>
      <c r="K918" t="s">
        <v>43</v>
      </c>
      <c r="L918" t="s">
        <v>37</v>
      </c>
      <c r="M918">
        <v>78</v>
      </c>
      <c r="N918" t="s">
        <v>38</v>
      </c>
      <c r="O918" t="s">
        <v>41</v>
      </c>
      <c r="P918" s="2">
        <v>4737.09</v>
      </c>
      <c r="Q918" t="s">
        <v>52</v>
      </c>
      <c r="R918" s="1">
        <v>44971</v>
      </c>
      <c r="S918" s="1"/>
    </row>
    <row r="919" spans="1:19" x14ac:dyDescent="0.3">
      <c r="A919">
        <v>18172</v>
      </c>
      <c r="B919" t="s">
        <v>17</v>
      </c>
      <c r="C919" t="s">
        <v>17</v>
      </c>
      <c r="D919">
        <v>130000</v>
      </c>
      <c r="E919" t="str">
        <f>IF(Sales_Data[[#This Row],[Income]]&lt;=20000,"Low Income",IF(Sales_Data[[#This Row],[Income]]&lt;=40000,"Lower Middle",IF(Sales_Data[[#This Row],[Income]]&lt;=60000,"Middle Income",IF(Sales_Data[[#This Row],[Income]]&lt;=80000,"Upper Middle","High Income"))))</f>
        <v>High Income</v>
      </c>
      <c r="F919">
        <v>4</v>
      </c>
      <c r="G919" t="s">
        <v>45</v>
      </c>
      <c r="H919" t="s">
        <v>31</v>
      </c>
      <c r="I919" t="s">
        <v>21</v>
      </c>
      <c r="J919">
        <v>3</v>
      </c>
      <c r="K919" t="s">
        <v>22</v>
      </c>
      <c r="L919" t="s">
        <v>23</v>
      </c>
      <c r="M919">
        <v>55</v>
      </c>
      <c r="N919" t="s">
        <v>24</v>
      </c>
      <c r="O919" t="s">
        <v>29</v>
      </c>
      <c r="P919" s="2">
        <v>9525.34</v>
      </c>
      <c r="Q919" t="s">
        <v>59</v>
      </c>
      <c r="R919" s="1">
        <v>45026</v>
      </c>
      <c r="S919" s="1"/>
    </row>
    <row r="920" spans="1:19" x14ac:dyDescent="0.3">
      <c r="A920">
        <v>20598</v>
      </c>
      <c r="B920" t="s">
        <v>17</v>
      </c>
      <c r="C920" t="s">
        <v>17</v>
      </c>
      <c r="D920">
        <v>100000</v>
      </c>
      <c r="E920" t="str">
        <f>IF(Sales_Data[[#This Row],[Income]]&lt;=20000,"Low Income",IF(Sales_Data[[#This Row],[Income]]&lt;=40000,"Lower Middle",IF(Sales_Data[[#This Row],[Income]]&lt;=60000,"Middle Income",IF(Sales_Data[[#This Row],[Income]]&lt;=80000,"Upper Middle","High Income"))))</f>
        <v>High Income</v>
      </c>
      <c r="F920">
        <v>3</v>
      </c>
      <c r="G920" t="s">
        <v>50</v>
      </c>
      <c r="H920" t="s">
        <v>31</v>
      </c>
      <c r="I920" t="s">
        <v>21</v>
      </c>
      <c r="J920">
        <v>0</v>
      </c>
      <c r="K920" t="s">
        <v>53</v>
      </c>
      <c r="L920" t="s">
        <v>23</v>
      </c>
      <c r="M920">
        <v>59</v>
      </c>
      <c r="N920" t="s">
        <v>24</v>
      </c>
      <c r="O920" t="s">
        <v>55</v>
      </c>
      <c r="P920" s="2">
        <v>6158.6</v>
      </c>
      <c r="Q920" t="s">
        <v>48</v>
      </c>
      <c r="R920" s="1">
        <v>45140</v>
      </c>
      <c r="S920" s="1"/>
    </row>
    <row r="921" spans="1:19" x14ac:dyDescent="0.3">
      <c r="A921">
        <v>14193</v>
      </c>
      <c r="B921" t="s">
        <v>35</v>
      </c>
      <c r="C921" t="s">
        <v>18</v>
      </c>
      <c r="D921">
        <v>100000</v>
      </c>
      <c r="E921" t="str">
        <f>IF(Sales_Data[[#This Row],[Income]]&lt;=20000,"Low Income",IF(Sales_Data[[#This Row],[Income]]&lt;=40000,"Lower Middle",IF(Sales_Data[[#This Row],[Income]]&lt;=60000,"Middle Income",IF(Sales_Data[[#This Row],[Income]]&lt;=80000,"Upper Middle","High Income"))))</f>
        <v>High Income</v>
      </c>
      <c r="F921">
        <v>3</v>
      </c>
      <c r="G921" t="s">
        <v>27</v>
      </c>
      <c r="H921" t="s">
        <v>46</v>
      </c>
      <c r="I921" t="s">
        <v>21</v>
      </c>
      <c r="J921">
        <v>4</v>
      </c>
      <c r="K921" t="s">
        <v>53</v>
      </c>
      <c r="L921" t="s">
        <v>23</v>
      </c>
      <c r="M921">
        <v>56</v>
      </c>
      <c r="N921" t="s">
        <v>24</v>
      </c>
      <c r="O921" t="s">
        <v>34</v>
      </c>
      <c r="P921" s="2">
        <v>9228.65</v>
      </c>
      <c r="Q921" t="s">
        <v>51</v>
      </c>
      <c r="R921" s="1">
        <v>45102</v>
      </c>
      <c r="S921" s="1"/>
    </row>
    <row r="922" spans="1:19" x14ac:dyDescent="0.3">
      <c r="A922">
        <v>12705</v>
      </c>
      <c r="B922" t="s">
        <v>17</v>
      </c>
      <c r="C922" t="s">
        <v>17</v>
      </c>
      <c r="D922">
        <v>150000</v>
      </c>
      <c r="E922" t="str">
        <f>IF(Sales_Data[[#This Row],[Income]]&lt;=20000,"Low Income",IF(Sales_Data[[#This Row],[Income]]&lt;=40000,"Lower Middle",IF(Sales_Data[[#This Row],[Income]]&lt;=60000,"Middle Income",IF(Sales_Data[[#This Row],[Income]]&lt;=80000,"Upper Middle","High Income"))))</f>
        <v>High Income</v>
      </c>
      <c r="F922">
        <v>0</v>
      </c>
      <c r="G922" t="s">
        <v>19</v>
      </c>
      <c r="H922" t="s">
        <v>46</v>
      </c>
      <c r="I922" t="s">
        <v>21</v>
      </c>
      <c r="J922">
        <v>4</v>
      </c>
      <c r="K922" t="s">
        <v>22</v>
      </c>
      <c r="L922" t="s">
        <v>37</v>
      </c>
      <c r="M922">
        <v>37</v>
      </c>
      <c r="N922" t="s">
        <v>38</v>
      </c>
      <c r="O922" t="s">
        <v>41</v>
      </c>
      <c r="P922" s="2">
        <v>3034.03</v>
      </c>
      <c r="Q922" t="s">
        <v>26</v>
      </c>
      <c r="R922" s="1">
        <v>45286</v>
      </c>
      <c r="S922" s="1"/>
    </row>
    <row r="923" spans="1:19" x14ac:dyDescent="0.3">
      <c r="A923">
        <v>13133</v>
      </c>
      <c r="B923" t="s">
        <v>35</v>
      </c>
      <c r="C923" t="s">
        <v>17</v>
      </c>
      <c r="D923">
        <v>100000</v>
      </c>
      <c r="E923" t="str">
        <f>IF(Sales_Data[[#This Row],[Income]]&lt;=20000,"Low Income",IF(Sales_Data[[#This Row],[Income]]&lt;=40000,"Lower Middle",IF(Sales_Data[[#This Row],[Income]]&lt;=60000,"Middle Income",IF(Sales_Data[[#This Row],[Income]]&lt;=80000,"Upper Middle","High Income"))))</f>
        <v>High Income</v>
      </c>
      <c r="F923">
        <v>5</v>
      </c>
      <c r="G923" t="s">
        <v>19</v>
      </c>
      <c r="H923" t="s">
        <v>31</v>
      </c>
      <c r="I923" t="s">
        <v>21</v>
      </c>
      <c r="J923">
        <v>1</v>
      </c>
      <c r="K923" t="s">
        <v>36</v>
      </c>
      <c r="L923" t="s">
        <v>37</v>
      </c>
      <c r="M923">
        <v>47</v>
      </c>
      <c r="N923" t="s">
        <v>24</v>
      </c>
      <c r="O923" t="s">
        <v>49</v>
      </c>
      <c r="P923" s="2">
        <v>7839.43</v>
      </c>
      <c r="Q923" t="s">
        <v>51</v>
      </c>
      <c r="R923" s="1">
        <v>45080</v>
      </c>
      <c r="S923" s="1"/>
    </row>
    <row r="924" spans="1:19" x14ac:dyDescent="0.3">
      <c r="A924">
        <v>26654</v>
      </c>
      <c r="B924" t="s">
        <v>17</v>
      </c>
      <c r="C924" t="s">
        <v>18</v>
      </c>
      <c r="D924">
        <v>90000</v>
      </c>
      <c r="E924" t="str">
        <f>IF(Sales_Data[[#This Row],[Income]]&lt;=20000,"Low Income",IF(Sales_Data[[#This Row],[Income]]&lt;=40000,"Lower Middle",IF(Sales_Data[[#This Row],[Income]]&lt;=60000,"Middle Income",IF(Sales_Data[[#This Row],[Income]]&lt;=80000,"Upper Middle","High Income"))))</f>
        <v>High Income</v>
      </c>
      <c r="F924">
        <v>1</v>
      </c>
      <c r="G924" t="s">
        <v>61</v>
      </c>
      <c r="H924" t="s">
        <v>46</v>
      </c>
      <c r="I924" t="s">
        <v>21</v>
      </c>
      <c r="J924">
        <v>0</v>
      </c>
      <c r="K924" t="s">
        <v>22</v>
      </c>
      <c r="L924" t="s">
        <v>37</v>
      </c>
      <c r="M924">
        <v>37</v>
      </c>
      <c r="N924" t="s">
        <v>24</v>
      </c>
      <c r="O924" t="s">
        <v>34</v>
      </c>
      <c r="P924" s="2">
        <v>8316.33</v>
      </c>
      <c r="Q924" t="s">
        <v>44</v>
      </c>
      <c r="R924" s="1">
        <v>44933</v>
      </c>
      <c r="S924" s="1"/>
    </row>
    <row r="925" spans="1:19" x14ac:dyDescent="0.3">
      <c r="A925">
        <v>20625</v>
      </c>
      <c r="B925" t="s">
        <v>17</v>
      </c>
      <c r="C925" t="s">
        <v>17</v>
      </c>
      <c r="D925">
        <v>100000</v>
      </c>
      <c r="E925" t="str">
        <f>IF(Sales_Data[[#This Row],[Income]]&lt;=20000,"Low Income",IF(Sales_Data[[#This Row],[Income]]&lt;=40000,"Lower Middle",IF(Sales_Data[[#This Row],[Income]]&lt;=60000,"Middle Income",IF(Sales_Data[[#This Row],[Income]]&lt;=80000,"Upper Middle","High Income"))))</f>
        <v>High Income</v>
      </c>
      <c r="F925">
        <v>0</v>
      </c>
      <c r="G925" t="s">
        <v>45</v>
      </c>
      <c r="H925" t="s">
        <v>46</v>
      </c>
      <c r="I925" t="s">
        <v>21</v>
      </c>
      <c r="J925">
        <v>3</v>
      </c>
      <c r="K925" t="s">
        <v>53</v>
      </c>
      <c r="L925" t="s">
        <v>37</v>
      </c>
      <c r="M925">
        <v>35</v>
      </c>
      <c r="N925" t="s">
        <v>24</v>
      </c>
      <c r="O925" t="s">
        <v>55</v>
      </c>
      <c r="P925" s="2">
        <v>1969.42</v>
      </c>
      <c r="Q925" t="s">
        <v>58</v>
      </c>
      <c r="R925" s="1">
        <v>45138</v>
      </c>
      <c r="S925" s="1"/>
    </row>
    <row r="926" spans="1:19" x14ac:dyDescent="0.3">
      <c r="A926">
        <v>29120</v>
      </c>
      <c r="B926" t="s">
        <v>35</v>
      </c>
      <c r="C926" t="s">
        <v>18</v>
      </c>
      <c r="D926">
        <v>100000</v>
      </c>
      <c r="E926" t="str">
        <f>IF(Sales_Data[[#This Row],[Income]]&lt;=20000,"Low Income",IF(Sales_Data[[#This Row],[Income]]&lt;=40000,"Lower Middle",IF(Sales_Data[[#This Row],[Income]]&lt;=60000,"Middle Income",IF(Sales_Data[[#This Row],[Income]]&lt;=80000,"Upper Middle","High Income"))))</f>
        <v>High Income</v>
      </c>
      <c r="F926">
        <v>1</v>
      </c>
      <c r="G926" t="s">
        <v>19</v>
      </c>
      <c r="H926" t="s">
        <v>46</v>
      </c>
      <c r="I926" t="s">
        <v>21</v>
      </c>
      <c r="J926">
        <v>4</v>
      </c>
      <c r="K926" t="s">
        <v>33</v>
      </c>
      <c r="L926" t="s">
        <v>37</v>
      </c>
      <c r="M926">
        <v>48</v>
      </c>
      <c r="N926" t="s">
        <v>24</v>
      </c>
      <c r="O926" t="s">
        <v>25</v>
      </c>
      <c r="P926" s="2">
        <v>1389.14</v>
      </c>
      <c r="Q926" t="s">
        <v>48</v>
      </c>
      <c r="R926" s="1">
        <v>45151</v>
      </c>
      <c r="S926" s="1"/>
    </row>
    <row r="927" spans="1:19" x14ac:dyDescent="0.3">
      <c r="A927">
        <v>15758</v>
      </c>
      <c r="B927" t="s">
        <v>17</v>
      </c>
      <c r="C927" t="s">
        <v>17</v>
      </c>
      <c r="D927">
        <v>130000</v>
      </c>
      <c r="E927" t="str">
        <f>IF(Sales_Data[[#This Row],[Income]]&lt;=20000,"Low Income",IF(Sales_Data[[#This Row],[Income]]&lt;=40000,"Lower Middle",IF(Sales_Data[[#This Row],[Income]]&lt;=60000,"Middle Income",IF(Sales_Data[[#This Row],[Income]]&lt;=80000,"Upper Middle","High Income"))))</f>
        <v>High Income</v>
      </c>
      <c r="F927">
        <v>0</v>
      </c>
      <c r="G927" t="s">
        <v>61</v>
      </c>
      <c r="H927" t="s">
        <v>46</v>
      </c>
      <c r="I927" t="s">
        <v>21</v>
      </c>
      <c r="J927">
        <v>0</v>
      </c>
      <c r="K927" t="s">
        <v>36</v>
      </c>
      <c r="L927" t="s">
        <v>37</v>
      </c>
      <c r="M927">
        <v>48</v>
      </c>
      <c r="N927" t="s">
        <v>38</v>
      </c>
      <c r="O927" t="s">
        <v>54</v>
      </c>
      <c r="P927" s="2">
        <v>6625.76</v>
      </c>
      <c r="Q927" t="s">
        <v>57</v>
      </c>
      <c r="R927" s="1">
        <v>45212</v>
      </c>
      <c r="S927" s="1"/>
    </row>
    <row r="928" spans="1:19" x14ac:dyDescent="0.3">
      <c r="A928">
        <v>21557</v>
      </c>
      <c r="B928" t="s">
        <v>35</v>
      </c>
      <c r="C928" t="s">
        <v>18</v>
      </c>
      <c r="D928">
        <v>110000</v>
      </c>
      <c r="E928" t="str">
        <f>IF(Sales_Data[[#This Row],[Income]]&lt;=20000,"Low Income",IF(Sales_Data[[#This Row],[Income]]&lt;=40000,"Lower Middle",IF(Sales_Data[[#This Row],[Income]]&lt;=60000,"Middle Income",IF(Sales_Data[[#This Row],[Income]]&lt;=80000,"Upper Middle","High Income"))))</f>
        <v>High Income</v>
      </c>
      <c r="F928">
        <v>0</v>
      </c>
      <c r="G928" t="s">
        <v>27</v>
      </c>
      <c r="H928" t="s">
        <v>46</v>
      </c>
      <c r="I928" t="s">
        <v>21</v>
      </c>
      <c r="J928">
        <v>3</v>
      </c>
      <c r="K928" t="s">
        <v>53</v>
      </c>
      <c r="L928" t="s">
        <v>37</v>
      </c>
      <c r="M928">
        <v>32</v>
      </c>
      <c r="N928" t="s">
        <v>24</v>
      </c>
      <c r="O928" t="s">
        <v>34</v>
      </c>
      <c r="P928" s="2">
        <v>8765.9599999999991</v>
      </c>
      <c r="Q928" t="s">
        <v>40</v>
      </c>
      <c r="R928" s="1">
        <v>45065</v>
      </c>
      <c r="S928" s="1"/>
    </row>
    <row r="929" spans="1:19" x14ac:dyDescent="0.3">
      <c r="A929">
        <v>11896</v>
      </c>
      <c r="B929" t="s">
        <v>17</v>
      </c>
      <c r="C929" t="s">
        <v>17</v>
      </c>
      <c r="D929">
        <v>100000</v>
      </c>
      <c r="E929" t="str">
        <f>IF(Sales_Data[[#This Row],[Income]]&lt;=20000,"Low Income",IF(Sales_Data[[#This Row],[Income]]&lt;=40000,"Lower Middle",IF(Sales_Data[[#This Row],[Income]]&lt;=60000,"Middle Income",IF(Sales_Data[[#This Row],[Income]]&lt;=80000,"Upper Middle","High Income"))))</f>
        <v>High Income</v>
      </c>
      <c r="F929">
        <v>1</v>
      </c>
      <c r="G929" t="s">
        <v>61</v>
      </c>
      <c r="H929" t="s">
        <v>46</v>
      </c>
      <c r="I929" t="s">
        <v>21</v>
      </c>
      <c r="J929">
        <v>0</v>
      </c>
      <c r="K929" t="s">
        <v>33</v>
      </c>
      <c r="L929" t="s">
        <v>37</v>
      </c>
      <c r="M929">
        <v>36</v>
      </c>
      <c r="N929" t="s">
        <v>38</v>
      </c>
      <c r="O929" t="s">
        <v>47</v>
      </c>
      <c r="P929" s="2">
        <v>7672.16</v>
      </c>
      <c r="Q929" t="s">
        <v>57</v>
      </c>
      <c r="R929" s="1">
        <v>45218</v>
      </c>
      <c r="S929" s="1"/>
    </row>
    <row r="930" spans="1:19" x14ac:dyDescent="0.3">
      <c r="A930">
        <v>14189</v>
      </c>
      <c r="B930" t="s">
        <v>17</v>
      </c>
      <c r="C930" t="s">
        <v>18</v>
      </c>
      <c r="D930">
        <v>90000</v>
      </c>
      <c r="E930" t="str">
        <f>IF(Sales_Data[[#This Row],[Income]]&lt;=20000,"Low Income",IF(Sales_Data[[#This Row],[Income]]&lt;=40000,"Lower Middle",IF(Sales_Data[[#This Row],[Income]]&lt;=60000,"Middle Income",IF(Sales_Data[[#This Row],[Income]]&lt;=80000,"Upper Middle","High Income"))))</f>
        <v>High Income</v>
      </c>
      <c r="F930">
        <v>4</v>
      </c>
      <c r="G930" t="s">
        <v>45</v>
      </c>
      <c r="H930" t="s">
        <v>31</v>
      </c>
      <c r="I930" t="s">
        <v>32</v>
      </c>
      <c r="J930">
        <v>2</v>
      </c>
      <c r="K930" t="s">
        <v>33</v>
      </c>
      <c r="L930" t="s">
        <v>23</v>
      </c>
      <c r="M930">
        <v>54</v>
      </c>
      <c r="N930" t="s">
        <v>38</v>
      </c>
      <c r="O930" t="s">
        <v>62</v>
      </c>
      <c r="P930" s="2">
        <v>2849.12</v>
      </c>
      <c r="Q930" t="s">
        <v>40</v>
      </c>
      <c r="R930" s="1">
        <v>45070</v>
      </c>
      <c r="S930" s="1"/>
    </row>
    <row r="931" spans="1:19" x14ac:dyDescent="0.3">
      <c r="A931">
        <v>11000</v>
      </c>
      <c r="B931" t="s">
        <v>17</v>
      </c>
      <c r="C931" t="s">
        <v>17</v>
      </c>
      <c r="D931">
        <v>90000</v>
      </c>
      <c r="E931" t="str">
        <f>IF(Sales_Data[[#This Row],[Income]]&lt;=20000,"Low Income",IF(Sales_Data[[#This Row],[Income]]&lt;=40000,"Lower Middle",IF(Sales_Data[[#This Row],[Income]]&lt;=60000,"Middle Income",IF(Sales_Data[[#This Row],[Income]]&lt;=80000,"Upper Middle","High Income"))))</f>
        <v>High Income</v>
      </c>
      <c r="F931">
        <v>2</v>
      </c>
      <c r="G931" t="s">
        <v>19</v>
      </c>
      <c r="H931" t="s">
        <v>31</v>
      </c>
      <c r="I931" t="s">
        <v>21</v>
      </c>
      <c r="J931">
        <v>0</v>
      </c>
      <c r="K931" t="s">
        <v>43</v>
      </c>
      <c r="L931" t="s">
        <v>37</v>
      </c>
      <c r="M931">
        <v>40</v>
      </c>
      <c r="N931" t="s">
        <v>24</v>
      </c>
      <c r="O931" t="s">
        <v>34</v>
      </c>
      <c r="P931" s="2">
        <v>1144.32</v>
      </c>
      <c r="Q931" t="s">
        <v>48</v>
      </c>
      <c r="R931" s="1">
        <v>45158</v>
      </c>
      <c r="S931" s="1"/>
    </row>
    <row r="932" spans="1:19" x14ac:dyDescent="0.3">
      <c r="A932">
        <v>17522</v>
      </c>
      <c r="B932" t="s">
        <v>17</v>
      </c>
      <c r="C932" t="s">
        <v>17</v>
      </c>
      <c r="D932">
        <v>120000</v>
      </c>
      <c r="E932" t="str">
        <f>IF(Sales_Data[[#This Row],[Income]]&lt;=20000,"Low Income",IF(Sales_Data[[#This Row],[Income]]&lt;=40000,"Lower Middle",IF(Sales_Data[[#This Row],[Income]]&lt;=60000,"Middle Income",IF(Sales_Data[[#This Row],[Income]]&lt;=80000,"Upper Middle","High Income"))))</f>
        <v>High Income</v>
      </c>
      <c r="F932">
        <v>4</v>
      </c>
      <c r="G932" t="s">
        <v>19</v>
      </c>
      <c r="H932" t="s">
        <v>46</v>
      </c>
      <c r="I932" t="s">
        <v>21</v>
      </c>
      <c r="J932">
        <v>1</v>
      </c>
      <c r="K932" t="s">
        <v>33</v>
      </c>
      <c r="L932" t="s">
        <v>37</v>
      </c>
      <c r="M932">
        <v>47</v>
      </c>
      <c r="N932" t="s">
        <v>38</v>
      </c>
      <c r="O932" t="s">
        <v>54</v>
      </c>
      <c r="P932" s="2">
        <v>9795.76</v>
      </c>
      <c r="Q932" t="s">
        <v>44</v>
      </c>
      <c r="R932" s="1">
        <v>44947</v>
      </c>
      <c r="S932" s="1"/>
    </row>
    <row r="933" spans="1:19" x14ac:dyDescent="0.3">
      <c r="A933">
        <v>19066</v>
      </c>
      <c r="B933" t="s">
        <v>17</v>
      </c>
      <c r="C933" t="s">
        <v>17</v>
      </c>
      <c r="D933">
        <v>130000</v>
      </c>
      <c r="E933" t="str">
        <f>IF(Sales_Data[[#This Row],[Income]]&lt;=20000,"Low Income",IF(Sales_Data[[#This Row],[Income]]&lt;=40000,"Lower Middle",IF(Sales_Data[[#This Row],[Income]]&lt;=60000,"Middle Income",IF(Sales_Data[[#This Row],[Income]]&lt;=80000,"Upper Middle","High Income"))))</f>
        <v>High Income</v>
      </c>
      <c r="F933">
        <v>4</v>
      </c>
      <c r="G933" t="s">
        <v>27</v>
      </c>
      <c r="H933" t="s">
        <v>31</v>
      </c>
      <c r="I933" t="s">
        <v>32</v>
      </c>
      <c r="J933">
        <v>3</v>
      </c>
      <c r="K933" t="s">
        <v>53</v>
      </c>
      <c r="L933" t="s">
        <v>23</v>
      </c>
      <c r="M933">
        <v>54</v>
      </c>
      <c r="N933" t="s">
        <v>38</v>
      </c>
      <c r="O933" t="s">
        <v>39</v>
      </c>
      <c r="P933" s="2">
        <v>1783.8</v>
      </c>
      <c r="Q933" t="s">
        <v>40</v>
      </c>
      <c r="R933" s="1">
        <v>45077</v>
      </c>
      <c r="S933" s="1"/>
    </row>
    <row r="934" spans="1:19" x14ac:dyDescent="0.3">
      <c r="A934">
        <v>20228</v>
      </c>
      <c r="B934" t="s">
        <v>17</v>
      </c>
      <c r="C934" t="s">
        <v>17</v>
      </c>
      <c r="D934">
        <v>100000</v>
      </c>
      <c r="E934" t="str">
        <f>IF(Sales_Data[[#This Row],[Income]]&lt;=20000,"Low Income",IF(Sales_Data[[#This Row],[Income]]&lt;=40000,"Lower Middle",IF(Sales_Data[[#This Row],[Income]]&lt;=60000,"Middle Income",IF(Sales_Data[[#This Row],[Income]]&lt;=80000,"Upper Middle","High Income"))))</f>
        <v>High Income</v>
      </c>
      <c r="F934">
        <v>0</v>
      </c>
      <c r="G934" t="s">
        <v>61</v>
      </c>
      <c r="H934" t="s">
        <v>46</v>
      </c>
      <c r="I934" t="s">
        <v>21</v>
      </c>
      <c r="J934">
        <v>0</v>
      </c>
      <c r="K934" t="s">
        <v>33</v>
      </c>
      <c r="L934" t="s">
        <v>37</v>
      </c>
      <c r="M934">
        <v>40</v>
      </c>
      <c r="N934" t="s">
        <v>38</v>
      </c>
      <c r="O934" t="s">
        <v>62</v>
      </c>
      <c r="P934" s="2">
        <v>9333.17</v>
      </c>
      <c r="Q934" t="s">
        <v>40</v>
      </c>
      <c r="R934" s="1">
        <v>45060</v>
      </c>
      <c r="S934" s="1"/>
    </row>
    <row r="935" spans="1:19" x14ac:dyDescent="0.3">
      <c r="A935">
        <v>16675</v>
      </c>
      <c r="B935" t="s">
        <v>35</v>
      </c>
      <c r="C935" t="s">
        <v>18</v>
      </c>
      <c r="D935">
        <v>160000</v>
      </c>
      <c r="E935" t="str">
        <f>IF(Sales_Data[[#This Row],[Income]]&lt;=20000,"Low Income",IF(Sales_Data[[#This Row],[Income]]&lt;=40000,"Lower Middle",IF(Sales_Data[[#This Row],[Income]]&lt;=60000,"Middle Income",IF(Sales_Data[[#This Row],[Income]]&lt;=80000,"Upper Middle","High Income"))))</f>
        <v>High Income</v>
      </c>
      <c r="F935">
        <v>0</v>
      </c>
      <c r="G935" t="s">
        <v>61</v>
      </c>
      <c r="H935" t="s">
        <v>46</v>
      </c>
      <c r="I935" t="s">
        <v>32</v>
      </c>
      <c r="J935">
        <v>3</v>
      </c>
      <c r="K935" t="s">
        <v>22</v>
      </c>
      <c r="L935" t="s">
        <v>37</v>
      </c>
      <c r="M935">
        <v>47</v>
      </c>
      <c r="N935" t="s">
        <v>38</v>
      </c>
      <c r="O935" t="s">
        <v>62</v>
      </c>
      <c r="P935" s="2">
        <v>2239.1799999999998</v>
      </c>
      <c r="Q935" t="s">
        <v>48</v>
      </c>
      <c r="R935" s="1">
        <v>45140</v>
      </c>
      <c r="S935" s="1"/>
    </row>
    <row r="936" spans="1:19" x14ac:dyDescent="0.3">
      <c r="A936">
        <v>22930</v>
      </c>
      <c r="B936" t="s">
        <v>17</v>
      </c>
      <c r="C936" t="s">
        <v>17</v>
      </c>
      <c r="D936">
        <v>90000</v>
      </c>
      <c r="E936" t="str">
        <f>IF(Sales_Data[[#This Row],[Income]]&lt;=20000,"Low Income",IF(Sales_Data[[#This Row],[Income]]&lt;=40000,"Lower Middle",IF(Sales_Data[[#This Row],[Income]]&lt;=60000,"Middle Income",IF(Sales_Data[[#This Row],[Income]]&lt;=80000,"Upper Middle","High Income"))))</f>
        <v>High Income</v>
      </c>
      <c r="F936">
        <v>4</v>
      </c>
      <c r="G936" t="s">
        <v>19</v>
      </c>
      <c r="H936" t="s">
        <v>31</v>
      </c>
      <c r="I936" t="s">
        <v>21</v>
      </c>
      <c r="J936">
        <v>0</v>
      </c>
      <c r="K936" t="s">
        <v>43</v>
      </c>
      <c r="L936" t="s">
        <v>37</v>
      </c>
      <c r="M936">
        <v>38</v>
      </c>
      <c r="N936" t="s">
        <v>38</v>
      </c>
      <c r="O936" t="s">
        <v>62</v>
      </c>
      <c r="P936" s="2">
        <v>903.12</v>
      </c>
      <c r="Q936" t="s">
        <v>59</v>
      </c>
      <c r="R936" s="1">
        <v>45017</v>
      </c>
      <c r="S936" s="1"/>
    </row>
    <row r="937" spans="1:19" x14ac:dyDescent="0.3">
      <c r="A937">
        <v>12663</v>
      </c>
      <c r="B937" t="s">
        <v>17</v>
      </c>
      <c r="C937" t="s">
        <v>18</v>
      </c>
      <c r="D937">
        <v>90000</v>
      </c>
      <c r="E937" t="str">
        <f>IF(Sales_Data[[#This Row],[Income]]&lt;=20000,"Low Income",IF(Sales_Data[[#This Row],[Income]]&lt;=40000,"Lower Middle",IF(Sales_Data[[#This Row],[Income]]&lt;=60000,"Middle Income",IF(Sales_Data[[#This Row],[Income]]&lt;=80000,"Upper Middle","High Income"))))</f>
        <v>High Income</v>
      </c>
      <c r="F937">
        <v>5</v>
      </c>
      <c r="G937" t="s">
        <v>50</v>
      </c>
      <c r="H937" t="s">
        <v>20</v>
      </c>
      <c r="I937" t="s">
        <v>21</v>
      </c>
      <c r="J937">
        <v>2</v>
      </c>
      <c r="K937" t="s">
        <v>53</v>
      </c>
      <c r="L937" t="s">
        <v>23</v>
      </c>
      <c r="M937">
        <v>59</v>
      </c>
      <c r="N937" t="s">
        <v>24</v>
      </c>
      <c r="O937" t="s">
        <v>29</v>
      </c>
      <c r="P937" s="2">
        <v>8986.5499999999993</v>
      </c>
      <c r="Q937" t="s">
        <v>51</v>
      </c>
      <c r="R937" s="1">
        <v>45105</v>
      </c>
      <c r="S937" s="1"/>
    </row>
    <row r="938" spans="1:19" x14ac:dyDescent="0.3">
      <c r="A938">
        <v>18160</v>
      </c>
      <c r="B938" t="s">
        <v>17</v>
      </c>
      <c r="C938" t="s">
        <v>17</v>
      </c>
      <c r="D938">
        <v>130000</v>
      </c>
      <c r="E938" t="str">
        <f>IF(Sales_Data[[#This Row],[Income]]&lt;=20000,"Low Income",IF(Sales_Data[[#This Row],[Income]]&lt;=40000,"Lower Middle",IF(Sales_Data[[#This Row],[Income]]&lt;=60000,"Middle Income",IF(Sales_Data[[#This Row],[Income]]&lt;=80000,"Upper Middle","High Income"))))</f>
        <v>High Income</v>
      </c>
      <c r="F938">
        <v>3</v>
      </c>
      <c r="G938" t="s">
        <v>45</v>
      </c>
      <c r="H938" t="s">
        <v>31</v>
      </c>
      <c r="I938" t="s">
        <v>21</v>
      </c>
      <c r="J938">
        <v>4</v>
      </c>
      <c r="K938" t="s">
        <v>36</v>
      </c>
      <c r="L938" t="s">
        <v>23</v>
      </c>
      <c r="M938">
        <v>51</v>
      </c>
      <c r="N938" t="s">
        <v>24</v>
      </c>
      <c r="O938" t="s">
        <v>55</v>
      </c>
      <c r="P938" s="2">
        <v>8588.26</v>
      </c>
      <c r="Q938" t="s">
        <v>44</v>
      </c>
      <c r="R938" s="1">
        <v>44950</v>
      </c>
      <c r="S938" s="1"/>
    </row>
    <row r="939" spans="1:19" x14ac:dyDescent="0.3">
      <c r="A939">
        <v>25241</v>
      </c>
      <c r="B939" t="s">
        <v>17</v>
      </c>
      <c r="C939" t="s">
        <v>17</v>
      </c>
      <c r="D939">
        <v>90000</v>
      </c>
      <c r="E939" t="str">
        <f>IF(Sales_Data[[#This Row],[Income]]&lt;=20000,"Low Income",IF(Sales_Data[[#This Row],[Income]]&lt;=40000,"Lower Middle",IF(Sales_Data[[#This Row],[Income]]&lt;=60000,"Middle Income",IF(Sales_Data[[#This Row],[Income]]&lt;=80000,"Upper Middle","High Income"))))</f>
        <v>High Income</v>
      </c>
      <c r="F939">
        <v>2</v>
      </c>
      <c r="G939" t="s">
        <v>19</v>
      </c>
      <c r="H939" t="s">
        <v>31</v>
      </c>
      <c r="I939" t="s">
        <v>21</v>
      </c>
      <c r="J939">
        <v>1</v>
      </c>
      <c r="K939" t="s">
        <v>36</v>
      </c>
      <c r="L939" t="s">
        <v>37</v>
      </c>
      <c r="M939">
        <v>47</v>
      </c>
      <c r="N939" t="s">
        <v>24</v>
      </c>
      <c r="O939" t="s">
        <v>55</v>
      </c>
      <c r="P939" s="2">
        <v>7301.19</v>
      </c>
      <c r="Q939" t="s">
        <v>30</v>
      </c>
      <c r="R939" s="1">
        <v>45010</v>
      </c>
      <c r="S939" s="1"/>
    </row>
    <row r="940" spans="1:19" x14ac:dyDescent="0.3">
      <c r="A940">
        <v>15926</v>
      </c>
      <c r="B940" t="s">
        <v>35</v>
      </c>
      <c r="C940" t="s">
        <v>18</v>
      </c>
      <c r="D940">
        <v>120000</v>
      </c>
      <c r="E940" t="str">
        <f>IF(Sales_Data[[#This Row],[Income]]&lt;=20000,"Low Income",IF(Sales_Data[[#This Row],[Income]]&lt;=40000,"Lower Middle",IF(Sales_Data[[#This Row],[Income]]&lt;=60000,"Middle Income",IF(Sales_Data[[#This Row],[Income]]&lt;=80000,"Upper Middle","High Income"))))</f>
        <v>High Income</v>
      </c>
      <c r="F940">
        <v>3</v>
      </c>
      <c r="G940" t="s">
        <v>45</v>
      </c>
      <c r="H940" t="s">
        <v>31</v>
      </c>
      <c r="I940" t="s">
        <v>21</v>
      </c>
      <c r="J940">
        <v>4</v>
      </c>
      <c r="K940" t="s">
        <v>36</v>
      </c>
      <c r="L940" t="s">
        <v>23</v>
      </c>
      <c r="M940">
        <v>50</v>
      </c>
      <c r="N940" t="s">
        <v>24</v>
      </c>
      <c r="O940" t="s">
        <v>25</v>
      </c>
      <c r="P940" s="2">
        <v>2181.29</v>
      </c>
      <c r="Q940" t="s">
        <v>48</v>
      </c>
      <c r="R940" s="1">
        <v>45151</v>
      </c>
      <c r="S940" s="1"/>
    </row>
    <row r="941" spans="1:19" x14ac:dyDescent="0.3">
      <c r="A941">
        <v>23608</v>
      </c>
      <c r="B941" t="s">
        <v>17</v>
      </c>
      <c r="C941" t="s">
        <v>18</v>
      </c>
      <c r="D941">
        <v>150000</v>
      </c>
      <c r="E941" t="str">
        <f>IF(Sales_Data[[#This Row],[Income]]&lt;=20000,"Low Income",IF(Sales_Data[[#This Row],[Income]]&lt;=40000,"Lower Middle",IF(Sales_Data[[#This Row],[Income]]&lt;=60000,"Middle Income",IF(Sales_Data[[#This Row],[Income]]&lt;=80000,"Upper Middle","High Income"))))</f>
        <v>High Income</v>
      </c>
      <c r="F941">
        <v>3</v>
      </c>
      <c r="G941" t="s">
        <v>45</v>
      </c>
      <c r="H941" t="s">
        <v>31</v>
      </c>
      <c r="I941" t="s">
        <v>21</v>
      </c>
      <c r="J941">
        <v>3</v>
      </c>
      <c r="K941" t="s">
        <v>22</v>
      </c>
      <c r="L941" t="s">
        <v>23</v>
      </c>
      <c r="M941">
        <v>51</v>
      </c>
      <c r="N941" t="s">
        <v>24</v>
      </c>
      <c r="O941" t="s">
        <v>34</v>
      </c>
      <c r="P941" s="2">
        <v>6985.85</v>
      </c>
      <c r="Q941" t="s">
        <v>59</v>
      </c>
      <c r="R941" s="1">
        <v>45038</v>
      </c>
      <c r="S941" s="1"/>
    </row>
    <row r="942" spans="1:19" x14ac:dyDescent="0.3">
      <c r="A942">
        <v>12332</v>
      </c>
      <c r="B942" t="s">
        <v>17</v>
      </c>
      <c r="C942" t="s">
        <v>17</v>
      </c>
      <c r="D942">
        <v>90000</v>
      </c>
      <c r="E942" t="str">
        <f>IF(Sales_Data[[#This Row],[Income]]&lt;=20000,"Low Income",IF(Sales_Data[[#This Row],[Income]]&lt;=40000,"Lower Middle",IF(Sales_Data[[#This Row],[Income]]&lt;=60000,"Middle Income",IF(Sales_Data[[#This Row],[Income]]&lt;=80000,"Upper Middle","High Income"))))</f>
        <v>High Income</v>
      </c>
      <c r="F942">
        <v>4</v>
      </c>
      <c r="G942" t="s">
        <v>45</v>
      </c>
      <c r="H942" t="s">
        <v>46</v>
      </c>
      <c r="I942" t="s">
        <v>21</v>
      </c>
      <c r="J942">
        <v>3</v>
      </c>
      <c r="K942" t="s">
        <v>36</v>
      </c>
      <c r="L942" t="s">
        <v>23</v>
      </c>
      <c r="M942">
        <v>58</v>
      </c>
      <c r="N942" t="s">
        <v>24</v>
      </c>
      <c r="O942" t="s">
        <v>55</v>
      </c>
      <c r="P942" s="2">
        <v>1105.48</v>
      </c>
      <c r="Q942" t="s">
        <v>26</v>
      </c>
      <c r="R942" s="1">
        <v>45268</v>
      </c>
      <c r="S942" s="1"/>
    </row>
    <row r="943" spans="1:19" x14ac:dyDescent="0.3">
      <c r="A943">
        <v>13082</v>
      </c>
      <c r="B943" t="s">
        <v>35</v>
      </c>
      <c r="C943" t="s">
        <v>17</v>
      </c>
      <c r="D943">
        <v>130000</v>
      </c>
      <c r="E943" t="str">
        <f>IF(Sales_Data[[#This Row],[Income]]&lt;=20000,"Low Income",IF(Sales_Data[[#This Row],[Income]]&lt;=40000,"Lower Middle",IF(Sales_Data[[#This Row],[Income]]&lt;=60000,"Middle Income",IF(Sales_Data[[#This Row],[Income]]&lt;=80000,"Upper Middle","High Income"))))</f>
        <v>High Income</v>
      </c>
      <c r="F943">
        <v>0</v>
      </c>
      <c r="G943" t="s">
        <v>61</v>
      </c>
      <c r="H943" t="s">
        <v>46</v>
      </c>
      <c r="I943" t="s">
        <v>21</v>
      </c>
      <c r="J943">
        <v>0</v>
      </c>
      <c r="K943" t="s">
        <v>33</v>
      </c>
      <c r="L943" t="s">
        <v>37</v>
      </c>
      <c r="M943">
        <v>48</v>
      </c>
      <c r="N943" t="s">
        <v>38</v>
      </c>
      <c r="O943" t="s">
        <v>47</v>
      </c>
      <c r="P943" s="2">
        <v>5186.66</v>
      </c>
      <c r="Q943" t="s">
        <v>40</v>
      </c>
      <c r="R943" s="1">
        <v>45062</v>
      </c>
      <c r="S943" s="1"/>
    </row>
    <row r="944" spans="1:19" x14ac:dyDescent="0.3">
      <c r="A944">
        <v>12133</v>
      </c>
      <c r="B944" t="s">
        <v>17</v>
      </c>
      <c r="C944" t="s">
        <v>18</v>
      </c>
      <c r="D944">
        <v>130000</v>
      </c>
      <c r="E944" t="str">
        <f>IF(Sales_Data[[#This Row],[Income]]&lt;=20000,"Low Income",IF(Sales_Data[[#This Row],[Income]]&lt;=40000,"Lower Middle",IF(Sales_Data[[#This Row],[Income]]&lt;=60000,"Middle Income",IF(Sales_Data[[#This Row],[Income]]&lt;=80000,"Upper Middle","High Income"))))</f>
        <v>High Income</v>
      </c>
      <c r="F944">
        <v>3</v>
      </c>
      <c r="G944" t="s">
        <v>27</v>
      </c>
      <c r="H944" t="s">
        <v>31</v>
      </c>
      <c r="I944" t="s">
        <v>21</v>
      </c>
      <c r="J944">
        <v>3</v>
      </c>
      <c r="K944" t="s">
        <v>36</v>
      </c>
      <c r="L944" t="s">
        <v>23</v>
      </c>
      <c r="M944">
        <v>50</v>
      </c>
      <c r="N944" t="s">
        <v>24</v>
      </c>
      <c r="O944" t="s">
        <v>29</v>
      </c>
      <c r="P944" s="2">
        <v>1009.84</v>
      </c>
      <c r="Q944" t="s">
        <v>26</v>
      </c>
      <c r="R944" s="1">
        <v>45284</v>
      </c>
      <c r="S944" s="1"/>
    </row>
    <row r="945" spans="1:19" x14ac:dyDescent="0.3">
      <c r="A945">
        <v>17324</v>
      </c>
      <c r="B945" t="s">
        <v>17</v>
      </c>
      <c r="C945" t="s">
        <v>18</v>
      </c>
      <c r="D945">
        <v>100000</v>
      </c>
      <c r="E945" t="str">
        <f>IF(Sales_Data[[#This Row],[Income]]&lt;=20000,"Low Income",IF(Sales_Data[[#This Row],[Income]]&lt;=40000,"Lower Middle",IF(Sales_Data[[#This Row],[Income]]&lt;=60000,"Middle Income",IF(Sales_Data[[#This Row],[Income]]&lt;=80000,"Upper Middle","High Income"))))</f>
        <v>High Income</v>
      </c>
      <c r="F945">
        <v>4</v>
      </c>
      <c r="G945" t="s">
        <v>19</v>
      </c>
      <c r="H945" t="s">
        <v>31</v>
      </c>
      <c r="I945" t="s">
        <v>21</v>
      </c>
      <c r="J945">
        <v>1</v>
      </c>
      <c r="K945" t="s">
        <v>53</v>
      </c>
      <c r="L945" t="s">
        <v>37</v>
      </c>
      <c r="M945">
        <v>46</v>
      </c>
      <c r="N945" t="s">
        <v>24</v>
      </c>
      <c r="O945" t="s">
        <v>29</v>
      </c>
      <c r="P945" s="2">
        <v>7640.77</v>
      </c>
      <c r="Q945" t="s">
        <v>52</v>
      </c>
      <c r="R945" s="1">
        <v>44963</v>
      </c>
      <c r="S945" s="1"/>
    </row>
    <row r="946" spans="1:19" x14ac:dyDescent="0.3">
      <c r="A946">
        <v>18140</v>
      </c>
      <c r="B946" t="s">
        <v>17</v>
      </c>
      <c r="C946" t="s">
        <v>17</v>
      </c>
      <c r="D946">
        <v>130000</v>
      </c>
      <c r="E946" t="str">
        <f>IF(Sales_Data[[#This Row],[Income]]&lt;=20000,"Low Income",IF(Sales_Data[[#This Row],[Income]]&lt;=40000,"Lower Middle",IF(Sales_Data[[#This Row],[Income]]&lt;=60000,"Middle Income",IF(Sales_Data[[#This Row],[Income]]&lt;=80000,"Upper Middle","High Income"))))</f>
        <v>High Income</v>
      </c>
      <c r="F946">
        <v>3</v>
      </c>
      <c r="G946" t="s">
        <v>27</v>
      </c>
      <c r="H946" t="s">
        <v>31</v>
      </c>
      <c r="I946" t="s">
        <v>32</v>
      </c>
      <c r="J946">
        <v>3</v>
      </c>
      <c r="K946" t="s">
        <v>36</v>
      </c>
      <c r="L946" t="s">
        <v>23</v>
      </c>
      <c r="M946">
        <v>51</v>
      </c>
      <c r="N946" t="s">
        <v>38</v>
      </c>
      <c r="O946" t="s">
        <v>62</v>
      </c>
      <c r="P946" s="2">
        <v>1495.54</v>
      </c>
      <c r="Q946" t="s">
        <v>59</v>
      </c>
      <c r="R946" s="1">
        <v>45038</v>
      </c>
      <c r="S946" s="1"/>
    </row>
    <row r="947" spans="1:19" x14ac:dyDescent="0.3">
      <c r="A947">
        <v>28957</v>
      </c>
      <c r="B947" t="s">
        <v>35</v>
      </c>
      <c r="C947" t="s">
        <v>18</v>
      </c>
      <c r="D947">
        <v>120000</v>
      </c>
      <c r="E947" t="str">
        <f>IF(Sales_Data[[#This Row],[Income]]&lt;=20000,"Low Income",IF(Sales_Data[[#This Row],[Income]]&lt;=40000,"Lower Middle",IF(Sales_Data[[#This Row],[Income]]&lt;=60000,"Middle Income",IF(Sales_Data[[#This Row],[Income]]&lt;=80000,"Upper Middle","High Income"))))</f>
        <v>High Income</v>
      </c>
      <c r="F947">
        <v>0</v>
      </c>
      <c r="G947" t="s">
        <v>50</v>
      </c>
      <c r="H947" t="s">
        <v>31</v>
      </c>
      <c r="I947" t="s">
        <v>21</v>
      </c>
      <c r="J947">
        <v>4</v>
      </c>
      <c r="K947" t="s">
        <v>53</v>
      </c>
      <c r="L947" t="s">
        <v>37</v>
      </c>
      <c r="M947">
        <v>34</v>
      </c>
      <c r="N947" t="s">
        <v>38</v>
      </c>
      <c r="O947" t="s">
        <v>41</v>
      </c>
      <c r="P947" s="2">
        <v>5246.72</v>
      </c>
      <c r="Q947" t="s">
        <v>26</v>
      </c>
      <c r="R947" s="1">
        <v>45266</v>
      </c>
      <c r="S947" s="1"/>
    </row>
    <row r="948" spans="1:19" x14ac:dyDescent="0.3">
      <c r="A948">
        <v>25792</v>
      </c>
      <c r="B948" t="s">
        <v>35</v>
      </c>
      <c r="C948" t="s">
        <v>18</v>
      </c>
      <c r="D948">
        <v>110000</v>
      </c>
      <c r="E948" t="str">
        <f>IF(Sales_Data[[#This Row],[Income]]&lt;=20000,"Low Income",IF(Sales_Data[[#This Row],[Income]]&lt;=40000,"Lower Middle",IF(Sales_Data[[#This Row],[Income]]&lt;=60000,"Middle Income",IF(Sales_Data[[#This Row],[Income]]&lt;=80000,"Upper Middle","High Income"))))</f>
        <v>High Income</v>
      </c>
      <c r="F948">
        <v>3</v>
      </c>
      <c r="G948" t="s">
        <v>19</v>
      </c>
      <c r="H948" t="s">
        <v>46</v>
      </c>
      <c r="I948" t="s">
        <v>21</v>
      </c>
      <c r="J948">
        <v>4</v>
      </c>
      <c r="K948" t="s">
        <v>53</v>
      </c>
      <c r="L948" t="s">
        <v>23</v>
      </c>
      <c r="M948">
        <v>53</v>
      </c>
      <c r="N948" t="s">
        <v>24</v>
      </c>
      <c r="O948" t="s">
        <v>25</v>
      </c>
      <c r="P948" s="2">
        <v>3355.82</v>
      </c>
      <c r="Q948" t="s">
        <v>48</v>
      </c>
      <c r="R948" s="1">
        <v>45168</v>
      </c>
      <c r="S948" s="1"/>
    </row>
    <row r="949" spans="1:19" x14ac:dyDescent="0.3">
      <c r="A949">
        <v>27582</v>
      </c>
      <c r="B949" t="s">
        <v>35</v>
      </c>
      <c r="C949" t="s">
        <v>18</v>
      </c>
      <c r="D949">
        <v>90000</v>
      </c>
      <c r="E949" t="str">
        <f>IF(Sales_Data[[#This Row],[Income]]&lt;=20000,"Low Income",IF(Sales_Data[[#This Row],[Income]]&lt;=40000,"Lower Middle",IF(Sales_Data[[#This Row],[Income]]&lt;=60000,"Middle Income",IF(Sales_Data[[#This Row],[Income]]&lt;=80000,"Upper Middle","High Income"))))</f>
        <v>High Income</v>
      </c>
      <c r="F949">
        <v>2</v>
      </c>
      <c r="G949" t="s">
        <v>19</v>
      </c>
      <c r="H949" t="s">
        <v>31</v>
      </c>
      <c r="I949" t="s">
        <v>32</v>
      </c>
      <c r="J949">
        <v>0</v>
      </c>
      <c r="K949" t="s">
        <v>22</v>
      </c>
      <c r="L949" t="s">
        <v>37</v>
      </c>
      <c r="M949">
        <v>36</v>
      </c>
      <c r="N949" t="s">
        <v>38</v>
      </c>
      <c r="O949" t="s">
        <v>62</v>
      </c>
      <c r="P949" s="2">
        <v>1947.2</v>
      </c>
      <c r="Q949" t="s">
        <v>26</v>
      </c>
      <c r="R949" s="1">
        <v>45276</v>
      </c>
      <c r="S949" s="1"/>
    </row>
    <row r="950" spans="1:19" x14ac:dyDescent="0.3">
      <c r="A950">
        <v>22821</v>
      </c>
      <c r="B950" t="s">
        <v>17</v>
      </c>
      <c r="C950" t="s">
        <v>18</v>
      </c>
      <c r="D950">
        <v>130000</v>
      </c>
      <c r="E950" t="str">
        <f>IF(Sales_Data[[#This Row],[Income]]&lt;=20000,"Low Income",IF(Sales_Data[[#This Row],[Income]]&lt;=40000,"Lower Middle",IF(Sales_Data[[#This Row],[Income]]&lt;=60000,"Middle Income",IF(Sales_Data[[#This Row],[Income]]&lt;=80000,"Upper Middle","High Income"))))</f>
        <v>High Income</v>
      </c>
      <c r="F950">
        <v>3</v>
      </c>
      <c r="G950" t="s">
        <v>27</v>
      </c>
      <c r="H950" t="s">
        <v>31</v>
      </c>
      <c r="I950" t="s">
        <v>21</v>
      </c>
      <c r="J950">
        <v>4</v>
      </c>
      <c r="K950" t="s">
        <v>22</v>
      </c>
      <c r="L950" t="s">
        <v>23</v>
      </c>
      <c r="M950">
        <v>52</v>
      </c>
      <c r="N950" t="s">
        <v>24</v>
      </c>
      <c r="O950" t="s">
        <v>25</v>
      </c>
      <c r="P950" s="2">
        <v>6091.19</v>
      </c>
      <c r="Q950" t="s">
        <v>52</v>
      </c>
      <c r="R950" s="1">
        <v>44969</v>
      </c>
      <c r="S950" s="1"/>
    </row>
    <row r="951" spans="1:19" x14ac:dyDescent="0.3">
      <c r="A951">
        <v>18153</v>
      </c>
      <c r="B951" t="s">
        <v>17</v>
      </c>
      <c r="C951" t="s">
        <v>18</v>
      </c>
      <c r="D951">
        <v>100000</v>
      </c>
      <c r="E951" t="str">
        <f>IF(Sales_Data[[#This Row],[Income]]&lt;=20000,"Low Income",IF(Sales_Data[[#This Row],[Income]]&lt;=40000,"Lower Middle",IF(Sales_Data[[#This Row],[Income]]&lt;=60000,"Middle Income",IF(Sales_Data[[#This Row],[Income]]&lt;=80000,"Upper Middle","High Income"))))</f>
        <v>High Income</v>
      </c>
      <c r="F951">
        <v>2</v>
      </c>
      <c r="G951" t="s">
        <v>19</v>
      </c>
      <c r="H951" t="s">
        <v>46</v>
      </c>
      <c r="I951" t="s">
        <v>21</v>
      </c>
      <c r="J951">
        <v>4</v>
      </c>
      <c r="K951" t="s">
        <v>53</v>
      </c>
      <c r="L951" t="s">
        <v>23</v>
      </c>
      <c r="M951">
        <v>59</v>
      </c>
      <c r="N951" t="s">
        <v>24</v>
      </c>
      <c r="O951" t="s">
        <v>55</v>
      </c>
      <c r="P951" s="2">
        <v>2482.15</v>
      </c>
      <c r="Q951" t="s">
        <v>40</v>
      </c>
      <c r="R951" s="1">
        <v>45077</v>
      </c>
      <c r="S951" s="1"/>
    </row>
    <row r="952" spans="1:19" x14ac:dyDescent="0.3">
      <c r="A952">
        <v>24901</v>
      </c>
      <c r="B952" t="s">
        <v>35</v>
      </c>
      <c r="C952" t="s">
        <v>17</v>
      </c>
      <c r="D952">
        <v>110000</v>
      </c>
      <c r="E952" t="str">
        <f>IF(Sales_Data[[#This Row],[Income]]&lt;=20000,"Low Income",IF(Sales_Data[[#This Row],[Income]]&lt;=40000,"Lower Middle",IF(Sales_Data[[#This Row],[Income]]&lt;=60000,"Middle Income",IF(Sales_Data[[#This Row],[Income]]&lt;=80000,"Upper Middle","High Income"))))</f>
        <v>High Income</v>
      </c>
      <c r="F952">
        <v>0</v>
      </c>
      <c r="G952" t="s">
        <v>27</v>
      </c>
      <c r="H952" t="s">
        <v>46</v>
      </c>
      <c r="I952" t="s">
        <v>32</v>
      </c>
      <c r="J952">
        <v>3</v>
      </c>
      <c r="K952" t="s">
        <v>53</v>
      </c>
      <c r="L952" t="s">
        <v>37</v>
      </c>
      <c r="M952">
        <v>32</v>
      </c>
      <c r="N952" t="s">
        <v>38</v>
      </c>
      <c r="O952" t="s">
        <v>54</v>
      </c>
      <c r="P952" s="2">
        <v>9357.7999999999993</v>
      </c>
      <c r="Q952" t="s">
        <v>51</v>
      </c>
      <c r="R952" s="1">
        <v>45085</v>
      </c>
      <c r="S952" s="1"/>
    </row>
    <row r="953" spans="1:19" x14ac:dyDescent="0.3">
      <c r="A953">
        <v>17048</v>
      </c>
      <c r="B953" t="s">
        <v>35</v>
      </c>
      <c r="C953" t="s">
        <v>18</v>
      </c>
      <c r="D953">
        <v>90000</v>
      </c>
      <c r="E953" t="str">
        <f>IF(Sales_Data[[#This Row],[Income]]&lt;=20000,"Low Income",IF(Sales_Data[[#This Row],[Income]]&lt;=40000,"Lower Middle",IF(Sales_Data[[#This Row],[Income]]&lt;=60000,"Middle Income",IF(Sales_Data[[#This Row],[Income]]&lt;=80000,"Upper Middle","High Income"))))</f>
        <v>High Income</v>
      </c>
      <c r="F953">
        <v>1</v>
      </c>
      <c r="G953" t="s">
        <v>61</v>
      </c>
      <c r="H953" t="s">
        <v>46</v>
      </c>
      <c r="I953" t="s">
        <v>21</v>
      </c>
      <c r="J953">
        <v>0</v>
      </c>
      <c r="K953" t="s">
        <v>22</v>
      </c>
      <c r="L953" t="s">
        <v>37</v>
      </c>
      <c r="M953">
        <v>36</v>
      </c>
      <c r="N953" t="s">
        <v>24</v>
      </c>
      <c r="O953" t="s">
        <v>34</v>
      </c>
      <c r="P953" s="2">
        <v>2047.42</v>
      </c>
      <c r="Q953" t="s">
        <v>30</v>
      </c>
      <c r="R953" s="1">
        <v>45004</v>
      </c>
      <c r="S953" s="1"/>
    </row>
    <row r="954" spans="1:19" x14ac:dyDescent="0.3">
      <c r="A954">
        <v>22204</v>
      </c>
      <c r="B954" t="s">
        <v>17</v>
      </c>
      <c r="C954" t="s">
        <v>17</v>
      </c>
      <c r="D954">
        <v>110000</v>
      </c>
      <c r="E954" t="str">
        <f>IF(Sales_Data[[#This Row],[Income]]&lt;=20000,"Low Income",IF(Sales_Data[[#This Row],[Income]]&lt;=40000,"Lower Middle",IF(Sales_Data[[#This Row],[Income]]&lt;=60000,"Middle Income",IF(Sales_Data[[#This Row],[Income]]&lt;=80000,"Upper Middle","High Income"))))</f>
        <v>High Income</v>
      </c>
      <c r="F954">
        <v>4</v>
      </c>
      <c r="G954" t="s">
        <v>19</v>
      </c>
      <c r="H954" t="s">
        <v>46</v>
      </c>
      <c r="I954" t="s">
        <v>21</v>
      </c>
      <c r="J954">
        <v>3</v>
      </c>
      <c r="K954" t="s">
        <v>33</v>
      </c>
      <c r="L954" t="s">
        <v>37</v>
      </c>
      <c r="M954">
        <v>48</v>
      </c>
      <c r="N954" t="s">
        <v>38</v>
      </c>
      <c r="O954" t="s">
        <v>41</v>
      </c>
      <c r="P954" s="2">
        <v>7928.72</v>
      </c>
      <c r="Q954" t="s">
        <v>59</v>
      </c>
      <c r="R954" s="1">
        <v>45043</v>
      </c>
      <c r="S954" s="1"/>
    </row>
    <row r="955" spans="1:19" x14ac:dyDescent="0.3">
      <c r="A955">
        <v>21891</v>
      </c>
      <c r="B955" t="s">
        <v>17</v>
      </c>
      <c r="C955" t="s">
        <v>18</v>
      </c>
      <c r="D955">
        <v>110000</v>
      </c>
      <c r="E955" t="str">
        <f>IF(Sales_Data[[#This Row],[Income]]&lt;=20000,"Low Income",IF(Sales_Data[[#This Row],[Income]]&lt;=40000,"Lower Middle",IF(Sales_Data[[#This Row],[Income]]&lt;=60000,"Middle Income",IF(Sales_Data[[#This Row],[Income]]&lt;=80000,"Upper Middle","High Income"))))</f>
        <v>High Income</v>
      </c>
      <c r="F955">
        <v>0</v>
      </c>
      <c r="G955" t="s">
        <v>45</v>
      </c>
      <c r="H955" t="s">
        <v>46</v>
      </c>
      <c r="I955" t="s">
        <v>21</v>
      </c>
      <c r="J955">
        <v>3</v>
      </c>
      <c r="K955" t="s">
        <v>53</v>
      </c>
      <c r="L955" t="s">
        <v>37</v>
      </c>
      <c r="M955">
        <v>34</v>
      </c>
      <c r="N955" t="s">
        <v>38</v>
      </c>
      <c r="O955" t="s">
        <v>47</v>
      </c>
      <c r="P955" s="2">
        <v>4502.8500000000004</v>
      </c>
      <c r="Q955" t="s">
        <v>56</v>
      </c>
      <c r="R955" s="1">
        <v>45178</v>
      </c>
      <c r="S955" s="1"/>
    </row>
    <row r="956" spans="1:19" x14ac:dyDescent="0.3">
      <c r="A956">
        <v>21561</v>
      </c>
      <c r="B956" t="s">
        <v>35</v>
      </c>
      <c r="C956" t="s">
        <v>17</v>
      </c>
      <c r="D956">
        <v>90000</v>
      </c>
      <c r="E956" t="str">
        <f>IF(Sales_Data[[#This Row],[Income]]&lt;=20000,"Low Income",IF(Sales_Data[[#This Row],[Income]]&lt;=40000,"Lower Middle",IF(Sales_Data[[#This Row],[Income]]&lt;=60000,"Middle Income",IF(Sales_Data[[#This Row],[Income]]&lt;=80000,"Upper Middle","High Income"))))</f>
        <v>High Income</v>
      </c>
      <c r="F956">
        <v>0</v>
      </c>
      <c r="G956" t="s">
        <v>19</v>
      </c>
      <c r="H956" t="s">
        <v>31</v>
      </c>
      <c r="I956" t="s">
        <v>32</v>
      </c>
      <c r="J956">
        <v>3</v>
      </c>
      <c r="K956" t="s">
        <v>53</v>
      </c>
      <c r="L956" t="s">
        <v>37</v>
      </c>
      <c r="M956">
        <v>34</v>
      </c>
      <c r="N956" t="s">
        <v>24</v>
      </c>
      <c r="O956" t="s">
        <v>55</v>
      </c>
      <c r="P956" s="2">
        <v>8766.7999999999993</v>
      </c>
      <c r="Q956" t="s">
        <v>40</v>
      </c>
      <c r="R956" s="1">
        <v>45071</v>
      </c>
      <c r="S956" s="1"/>
    </row>
    <row r="957" spans="1:19" x14ac:dyDescent="0.3">
      <c r="A957">
        <v>14278</v>
      </c>
      <c r="B957" t="s">
        <v>17</v>
      </c>
      <c r="C957" t="s">
        <v>18</v>
      </c>
      <c r="D957">
        <v>130000</v>
      </c>
      <c r="E957" t="str">
        <f>IF(Sales_Data[[#This Row],[Income]]&lt;=20000,"Low Income",IF(Sales_Data[[#This Row],[Income]]&lt;=40000,"Lower Middle",IF(Sales_Data[[#This Row],[Income]]&lt;=60000,"Middle Income",IF(Sales_Data[[#This Row],[Income]]&lt;=80000,"Upper Middle","High Income"))))</f>
        <v>High Income</v>
      </c>
      <c r="F957">
        <v>0</v>
      </c>
      <c r="G957" t="s">
        <v>61</v>
      </c>
      <c r="H957" t="s">
        <v>46</v>
      </c>
      <c r="I957" t="s">
        <v>21</v>
      </c>
      <c r="J957">
        <v>1</v>
      </c>
      <c r="K957" t="s">
        <v>53</v>
      </c>
      <c r="L957" t="s">
        <v>37</v>
      </c>
      <c r="M957">
        <v>48</v>
      </c>
      <c r="N957" t="s">
        <v>38</v>
      </c>
      <c r="O957" t="s">
        <v>62</v>
      </c>
      <c r="P957" s="2">
        <v>5940.67</v>
      </c>
      <c r="Q957" t="s">
        <v>51</v>
      </c>
      <c r="R957" s="1">
        <v>45098</v>
      </c>
      <c r="S957" s="1"/>
    </row>
    <row r="958" spans="1:19" x14ac:dyDescent="0.3">
      <c r="A958">
        <v>26385</v>
      </c>
      <c r="B958" t="s">
        <v>35</v>
      </c>
      <c r="C958" t="s">
        <v>17</v>
      </c>
      <c r="D958">
        <v>120000</v>
      </c>
      <c r="E958" t="str">
        <f>IF(Sales_Data[[#This Row],[Income]]&lt;=20000,"Low Income",IF(Sales_Data[[#This Row],[Income]]&lt;=40000,"Lower Middle",IF(Sales_Data[[#This Row],[Income]]&lt;=60000,"Middle Income",IF(Sales_Data[[#This Row],[Income]]&lt;=80000,"Upper Middle","High Income"))))</f>
        <v>High Income</v>
      </c>
      <c r="F958">
        <v>3</v>
      </c>
      <c r="G958" t="s">
        <v>45</v>
      </c>
      <c r="H958" t="s">
        <v>31</v>
      </c>
      <c r="I958" t="s">
        <v>32</v>
      </c>
      <c r="J958">
        <v>4</v>
      </c>
      <c r="K958" t="s">
        <v>36</v>
      </c>
      <c r="L958" t="s">
        <v>23</v>
      </c>
      <c r="M958">
        <v>50</v>
      </c>
      <c r="N958" t="s">
        <v>38</v>
      </c>
      <c r="O958" t="s">
        <v>47</v>
      </c>
      <c r="P958" s="2">
        <v>6942.38</v>
      </c>
      <c r="Q958" t="s">
        <v>44</v>
      </c>
      <c r="R958" s="1">
        <v>44936</v>
      </c>
      <c r="S958" s="1"/>
    </row>
    <row r="959" spans="1:19" x14ac:dyDescent="0.3">
      <c r="A959">
        <v>21560</v>
      </c>
      <c r="B959" t="s">
        <v>17</v>
      </c>
      <c r="C959" t="s">
        <v>17</v>
      </c>
      <c r="D959">
        <v>120000</v>
      </c>
      <c r="E959" t="str">
        <f>IF(Sales_Data[[#This Row],[Income]]&lt;=20000,"Low Income",IF(Sales_Data[[#This Row],[Income]]&lt;=40000,"Lower Middle",IF(Sales_Data[[#This Row],[Income]]&lt;=60000,"Middle Income",IF(Sales_Data[[#This Row],[Income]]&lt;=80000,"Upper Middle","High Income"))))</f>
        <v>High Income</v>
      </c>
      <c r="F959">
        <v>0</v>
      </c>
      <c r="G959" t="s">
        <v>50</v>
      </c>
      <c r="H959" t="s">
        <v>31</v>
      </c>
      <c r="I959" t="s">
        <v>21</v>
      </c>
      <c r="J959">
        <v>4</v>
      </c>
      <c r="K959" t="s">
        <v>53</v>
      </c>
      <c r="L959" t="s">
        <v>37</v>
      </c>
      <c r="M959">
        <v>32</v>
      </c>
      <c r="N959" t="s">
        <v>38</v>
      </c>
      <c r="O959" t="s">
        <v>62</v>
      </c>
      <c r="P959" s="2">
        <v>5945.93</v>
      </c>
      <c r="Q959" t="s">
        <v>52</v>
      </c>
      <c r="R959" s="1">
        <v>44981</v>
      </c>
      <c r="S959" s="1"/>
    </row>
    <row r="960" spans="1:19" x14ac:dyDescent="0.3">
      <c r="A960">
        <v>13089</v>
      </c>
      <c r="B960" t="s">
        <v>17</v>
      </c>
      <c r="C960" t="s">
        <v>18</v>
      </c>
      <c r="D960">
        <v>120000</v>
      </c>
      <c r="E960" t="str">
        <f>IF(Sales_Data[[#This Row],[Income]]&lt;=20000,"Low Income",IF(Sales_Data[[#This Row],[Income]]&lt;=40000,"Lower Middle",IF(Sales_Data[[#This Row],[Income]]&lt;=60000,"Middle Income",IF(Sales_Data[[#This Row],[Income]]&lt;=80000,"Upper Middle","High Income"))))</f>
        <v>High Income</v>
      </c>
      <c r="F960">
        <v>1</v>
      </c>
      <c r="G960" t="s">
        <v>19</v>
      </c>
      <c r="H960" t="s">
        <v>46</v>
      </c>
      <c r="I960" t="s">
        <v>21</v>
      </c>
      <c r="J960">
        <v>2</v>
      </c>
      <c r="K960" t="s">
        <v>22</v>
      </c>
      <c r="L960" t="s">
        <v>37</v>
      </c>
      <c r="M960">
        <v>46</v>
      </c>
      <c r="N960" t="s">
        <v>38</v>
      </c>
      <c r="O960" t="s">
        <v>41</v>
      </c>
      <c r="P960" s="2">
        <v>6144.58</v>
      </c>
      <c r="Q960" t="s">
        <v>26</v>
      </c>
      <c r="R960" s="1">
        <v>45289</v>
      </c>
      <c r="S960" s="1"/>
    </row>
    <row r="961" spans="1:19" x14ac:dyDescent="0.3">
      <c r="A961">
        <v>24305</v>
      </c>
      <c r="B961" t="s">
        <v>35</v>
      </c>
      <c r="C961" t="s">
        <v>17</v>
      </c>
      <c r="D961">
        <v>100000</v>
      </c>
      <c r="E961" t="str">
        <f>IF(Sales_Data[[#This Row],[Income]]&lt;=20000,"Low Income",IF(Sales_Data[[#This Row],[Income]]&lt;=40000,"Lower Middle",IF(Sales_Data[[#This Row],[Income]]&lt;=60000,"Middle Income",IF(Sales_Data[[#This Row],[Income]]&lt;=80000,"Upper Middle","High Income"))))</f>
        <v>High Income</v>
      </c>
      <c r="F961">
        <v>1</v>
      </c>
      <c r="G961" t="s">
        <v>19</v>
      </c>
      <c r="H961" t="s">
        <v>46</v>
      </c>
      <c r="I961" t="s">
        <v>32</v>
      </c>
      <c r="J961">
        <v>3</v>
      </c>
      <c r="K961" t="s">
        <v>22</v>
      </c>
      <c r="L961" t="s">
        <v>37</v>
      </c>
      <c r="M961">
        <v>46</v>
      </c>
      <c r="N961" t="s">
        <v>38</v>
      </c>
      <c r="O961" t="s">
        <v>39</v>
      </c>
      <c r="P961" s="2">
        <v>3617.19</v>
      </c>
      <c r="Q961" t="s">
        <v>52</v>
      </c>
      <c r="R961" s="1">
        <v>44967</v>
      </c>
      <c r="S961" s="1"/>
    </row>
    <row r="962" spans="1:19" x14ac:dyDescent="0.3">
      <c r="A962">
        <v>27585</v>
      </c>
      <c r="B962" t="s">
        <v>17</v>
      </c>
      <c r="C962" t="s">
        <v>18</v>
      </c>
      <c r="D962">
        <v>90000</v>
      </c>
      <c r="E962" t="str">
        <f>IF(Sales_Data[[#This Row],[Income]]&lt;=20000,"Low Income",IF(Sales_Data[[#This Row],[Income]]&lt;=40000,"Lower Middle",IF(Sales_Data[[#This Row],[Income]]&lt;=60000,"Middle Income",IF(Sales_Data[[#This Row],[Income]]&lt;=80000,"Upper Middle","High Income"))))</f>
        <v>High Income</v>
      </c>
      <c r="F962">
        <v>2</v>
      </c>
      <c r="G962" t="s">
        <v>19</v>
      </c>
      <c r="H962" t="s">
        <v>31</v>
      </c>
      <c r="I962" t="s">
        <v>32</v>
      </c>
      <c r="J962">
        <v>0</v>
      </c>
      <c r="K962" t="s">
        <v>22</v>
      </c>
      <c r="L962" t="s">
        <v>37</v>
      </c>
      <c r="M962">
        <v>36</v>
      </c>
      <c r="N962" t="s">
        <v>24</v>
      </c>
      <c r="O962" t="s">
        <v>49</v>
      </c>
      <c r="P962" s="2">
        <v>2995.34</v>
      </c>
      <c r="Q962" t="s">
        <v>56</v>
      </c>
      <c r="R962" s="1">
        <v>45172</v>
      </c>
      <c r="S962" s="1"/>
    </row>
    <row r="963" spans="1:19" x14ac:dyDescent="0.3">
      <c r="A963">
        <v>18294</v>
      </c>
      <c r="B963" t="s">
        <v>17</v>
      </c>
      <c r="C963" t="s">
        <v>18</v>
      </c>
      <c r="D963">
        <v>90000</v>
      </c>
      <c r="E963" t="str">
        <f>IF(Sales_Data[[#This Row],[Income]]&lt;=20000,"Low Income",IF(Sales_Data[[#This Row],[Income]]&lt;=40000,"Lower Middle",IF(Sales_Data[[#This Row],[Income]]&lt;=60000,"Middle Income",IF(Sales_Data[[#This Row],[Income]]&lt;=80000,"Upper Middle","High Income"))))</f>
        <v>High Income</v>
      </c>
      <c r="F963">
        <v>1</v>
      </c>
      <c r="G963" t="s">
        <v>19</v>
      </c>
      <c r="H963" t="s">
        <v>31</v>
      </c>
      <c r="I963" t="s">
        <v>21</v>
      </c>
      <c r="J963">
        <v>1</v>
      </c>
      <c r="K963" t="s">
        <v>36</v>
      </c>
      <c r="L963" t="s">
        <v>37</v>
      </c>
      <c r="M963">
        <v>46</v>
      </c>
      <c r="N963" t="s">
        <v>38</v>
      </c>
      <c r="O963" t="s">
        <v>54</v>
      </c>
      <c r="P963" s="2">
        <v>2074.77</v>
      </c>
      <c r="Q963" t="s">
        <v>30</v>
      </c>
      <c r="R963" s="1">
        <v>44998</v>
      </c>
      <c r="S963" s="1"/>
    </row>
    <row r="964" spans="1:19" x14ac:dyDescent="0.3">
      <c r="A964">
        <v>26415</v>
      </c>
      <c r="B964" t="s">
        <v>17</v>
      </c>
      <c r="C964" t="s">
        <v>18</v>
      </c>
      <c r="D964">
        <v>90000</v>
      </c>
      <c r="E964" t="str">
        <f>IF(Sales_Data[[#This Row],[Income]]&lt;=20000,"Low Income",IF(Sales_Data[[#This Row],[Income]]&lt;=40000,"Lower Middle",IF(Sales_Data[[#This Row],[Income]]&lt;=60000,"Middle Income",IF(Sales_Data[[#This Row],[Income]]&lt;=80000,"Upper Middle","High Income"))))</f>
        <v>High Income</v>
      </c>
      <c r="F964">
        <v>4</v>
      </c>
      <c r="G964" t="s">
        <v>50</v>
      </c>
      <c r="H964" t="s">
        <v>20</v>
      </c>
      <c r="I964" t="s">
        <v>21</v>
      </c>
      <c r="J964">
        <v>4</v>
      </c>
      <c r="K964" t="s">
        <v>53</v>
      </c>
      <c r="L964" t="s">
        <v>23</v>
      </c>
      <c r="M964">
        <v>58</v>
      </c>
      <c r="N964" t="s">
        <v>38</v>
      </c>
      <c r="O964" t="s">
        <v>62</v>
      </c>
      <c r="P964" s="2">
        <v>1522.71</v>
      </c>
      <c r="Q964" t="s">
        <v>52</v>
      </c>
      <c r="R964" s="1">
        <v>44973</v>
      </c>
      <c r="S964" s="1"/>
    </row>
    <row r="965" spans="1:19" x14ac:dyDescent="0.3">
      <c r="A965">
        <v>20339</v>
      </c>
      <c r="B965" t="s">
        <v>17</v>
      </c>
      <c r="C965" t="s">
        <v>18</v>
      </c>
      <c r="D965">
        <v>130000</v>
      </c>
      <c r="E965" t="str">
        <f>IF(Sales_Data[[#This Row],[Income]]&lt;=20000,"Low Income",IF(Sales_Data[[#This Row],[Income]]&lt;=40000,"Lower Middle",IF(Sales_Data[[#This Row],[Income]]&lt;=60000,"Middle Income",IF(Sales_Data[[#This Row],[Income]]&lt;=80000,"Upper Middle","High Income"))))</f>
        <v>High Income</v>
      </c>
      <c r="F965">
        <v>1</v>
      </c>
      <c r="G965" t="s">
        <v>19</v>
      </c>
      <c r="H965" t="s">
        <v>46</v>
      </c>
      <c r="I965" t="s">
        <v>21</v>
      </c>
      <c r="J965">
        <v>4</v>
      </c>
      <c r="K965" t="s">
        <v>33</v>
      </c>
      <c r="L965" t="s">
        <v>63</v>
      </c>
      <c r="M965">
        <v>44</v>
      </c>
      <c r="N965" t="s">
        <v>24</v>
      </c>
      <c r="O965" t="s">
        <v>29</v>
      </c>
      <c r="P965" s="2">
        <v>9298</v>
      </c>
      <c r="Q965" t="s">
        <v>52</v>
      </c>
      <c r="R965" s="1">
        <v>44979</v>
      </c>
      <c r="S965" s="1"/>
    </row>
    <row r="966" spans="1:19" x14ac:dyDescent="0.3">
      <c r="A966">
        <v>15940</v>
      </c>
      <c r="B966" t="s">
        <v>17</v>
      </c>
      <c r="C966" t="s">
        <v>17</v>
      </c>
      <c r="D966">
        <v>100000</v>
      </c>
      <c r="E966" t="str">
        <f>IF(Sales_Data[[#This Row],[Income]]&lt;=20000,"Low Income",IF(Sales_Data[[#This Row],[Income]]&lt;=40000,"Lower Middle",IF(Sales_Data[[#This Row],[Income]]&lt;=60000,"Middle Income",IF(Sales_Data[[#This Row],[Income]]&lt;=80000,"Upper Middle","High Income"))))</f>
        <v>High Income</v>
      </c>
      <c r="F966">
        <v>4</v>
      </c>
      <c r="G966" t="s">
        <v>27</v>
      </c>
      <c r="H966" t="s">
        <v>31</v>
      </c>
      <c r="I966" t="s">
        <v>21</v>
      </c>
      <c r="J966">
        <v>4</v>
      </c>
      <c r="K966" t="s">
        <v>22</v>
      </c>
      <c r="L966" t="s">
        <v>63</v>
      </c>
      <c r="M966">
        <v>40</v>
      </c>
      <c r="N966" t="s">
        <v>24</v>
      </c>
      <c r="O966" t="s">
        <v>29</v>
      </c>
      <c r="P966" s="2">
        <v>2496.5500000000002</v>
      </c>
      <c r="Q966" t="s">
        <v>51</v>
      </c>
      <c r="R966" s="1">
        <v>45100</v>
      </c>
      <c r="S966" s="1"/>
    </row>
    <row r="967" spans="1:19" x14ac:dyDescent="0.3">
      <c r="A967">
        <v>27638</v>
      </c>
      <c r="B967" t="s">
        <v>35</v>
      </c>
      <c r="C967" t="s">
        <v>17</v>
      </c>
      <c r="D967">
        <v>100000</v>
      </c>
      <c r="E967" t="str">
        <f>IF(Sales_Data[[#This Row],[Income]]&lt;=20000,"Low Income",IF(Sales_Data[[#This Row],[Income]]&lt;=40000,"Lower Middle",IF(Sales_Data[[#This Row],[Income]]&lt;=60000,"Middle Income",IF(Sales_Data[[#This Row],[Income]]&lt;=80000,"Upper Middle","High Income"))))</f>
        <v>High Income</v>
      </c>
      <c r="F967">
        <v>1</v>
      </c>
      <c r="G967" t="s">
        <v>27</v>
      </c>
      <c r="H967" t="s">
        <v>31</v>
      </c>
      <c r="I967" t="s">
        <v>32</v>
      </c>
      <c r="J967">
        <v>3</v>
      </c>
      <c r="K967" t="s">
        <v>43</v>
      </c>
      <c r="L967" t="s">
        <v>63</v>
      </c>
      <c r="M967">
        <v>44</v>
      </c>
      <c r="N967" t="s">
        <v>24</v>
      </c>
      <c r="O967" t="s">
        <v>55</v>
      </c>
      <c r="P967" s="2">
        <v>1536.04</v>
      </c>
      <c r="Q967" t="s">
        <v>52</v>
      </c>
      <c r="R967" s="1">
        <v>44971</v>
      </c>
      <c r="S967" s="1"/>
    </row>
    <row r="968" spans="1:19" x14ac:dyDescent="0.3">
      <c r="A968">
        <v>15382</v>
      </c>
      <c r="B968" t="s">
        <v>17</v>
      </c>
      <c r="C968" t="s">
        <v>18</v>
      </c>
      <c r="D968">
        <v>110000</v>
      </c>
      <c r="E968" t="str">
        <f>IF(Sales_Data[[#This Row],[Income]]&lt;=20000,"Low Income",IF(Sales_Data[[#This Row],[Income]]&lt;=40000,"Lower Middle",IF(Sales_Data[[#This Row],[Income]]&lt;=60000,"Middle Income",IF(Sales_Data[[#This Row],[Income]]&lt;=80000,"Upper Middle","High Income"))))</f>
        <v>High Income</v>
      </c>
      <c r="F968">
        <v>1</v>
      </c>
      <c r="G968" t="s">
        <v>19</v>
      </c>
      <c r="H968" t="s">
        <v>46</v>
      </c>
      <c r="I968" t="s">
        <v>21</v>
      </c>
      <c r="J968">
        <v>2</v>
      </c>
      <c r="K968" t="s">
        <v>43</v>
      </c>
      <c r="L968" t="s">
        <v>63</v>
      </c>
      <c r="M968">
        <v>44</v>
      </c>
      <c r="N968" t="s">
        <v>38</v>
      </c>
      <c r="O968" t="s">
        <v>39</v>
      </c>
      <c r="P968" s="2">
        <v>179.56</v>
      </c>
      <c r="Q968" t="s">
        <v>48</v>
      </c>
      <c r="R968" s="1">
        <v>45153</v>
      </c>
      <c r="S968" s="1"/>
    </row>
    <row r="969" spans="1:19" x14ac:dyDescent="0.3">
      <c r="A969">
        <v>24397</v>
      </c>
      <c r="B969" t="s">
        <v>35</v>
      </c>
      <c r="C969" t="s">
        <v>17</v>
      </c>
      <c r="D969">
        <v>120000</v>
      </c>
      <c r="E969" t="str">
        <f>IF(Sales_Data[[#This Row],[Income]]&lt;=20000,"Low Income",IF(Sales_Data[[#This Row],[Income]]&lt;=40000,"Lower Middle",IF(Sales_Data[[#This Row],[Income]]&lt;=60000,"Middle Income",IF(Sales_Data[[#This Row],[Income]]&lt;=80000,"Upper Middle","High Income"))))</f>
        <v>High Income</v>
      </c>
      <c r="F969">
        <v>2</v>
      </c>
      <c r="G969" t="s">
        <v>19</v>
      </c>
      <c r="H969" t="s">
        <v>46</v>
      </c>
      <c r="I969" t="s">
        <v>32</v>
      </c>
      <c r="J969">
        <v>4</v>
      </c>
      <c r="K969" t="s">
        <v>43</v>
      </c>
      <c r="L969" t="s">
        <v>63</v>
      </c>
      <c r="M969">
        <v>40</v>
      </c>
      <c r="N969" t="s">
        <v>24</v>
      </c>
      <c r="O969" t="s">
        <v>55</v>
      </c>
      <c r="P969" s="2">
        <v>6152.18</v>
      </c>
      <c r="Q969" t="s">
        <v>60</v>
      </c>
      <c r="R969" s="1">
        <v>45248</v>
      </c>
      <c r="S969" s="1"/>
    </row>
    <row r="970" spans="1:19" x14ac:dyDescent="0.3">
      <c r="A970">
        <v>13453</v>
      </c>
      <c r="B970" t="s">
        <v>17</v>
      </c>
      <c r="C970" t="s">
        <v>18</v>
      </c>
      <c r="D970">
        <v>130000</v>
      </c>
      <c r="E970" t="str">
        <f>IF(Sales_Data[[#This Row],[Income]]&lt;=20000,"Low Income",IF(Sales_Data[[#This Row],[Income]]&lt;=40000,"Lower Middle",IF(Sales_Data[[#This Row],[Income]]&lt;=60000,"Middle Income",IF(Sales_Data[[#This Row],[Income]]&lt;=80000,"Upper Middle","High Income"))))</f>
        <v>High Income</v>
      </c>
      <c r="F970">
        <v>3</v>
      </c>
      <c r="G970" t="s">
        <v>19</v>
      </c>
      <c r="H970" t="s">
        <v>46</v>
      </c>
      <c r="I970" t="s">
        <v>21</v>
      </c>
      <c r="J970">
        <v>3</v>
      </c>
      <c r="K970" t="s">
        <v>22</v>
      </c>
      <c r="L970" t="s">
        <v>63</v>
      </c>
      <c r="M970">
        <v>45</v>
      </c>
      <c r="N970" t="s">
        <v>24</v>
      </c>
      <c r="O970" t="s">
        <v>49</v>
      </c>
      <c r="P970" s="2">
        <v>3381.97</v>
      </c>
      <c r="Q970" t="s">
        <v>40</v>
      </c>
      <c r="R970" s="1">
        <v>45052</v>
      </c>
      <c r="S970" s="1"/>
    </row>
    <row r="971" spans="1:19" x14ac:dyDescent="0.3">
      <c r="A971">
        <v>16917</v>
      </c>
      <c r="B971" t="s">
        <v>17</v>
      </c>
      <c r="C971" t="s">
        <v>17</v>
      </c>
      <c r="D971">
        <v>120000</v>
      </c>
      <c r="E971" t="str">
        <f>IF(Sales_Data[[#This Row],[Income]]&lt;=20000,"Low Income",IF(Sales_Data[[#This Row],[Income]]&lt;=40000,"Lower Middle",IF(Sales_Data[[#This Row],[Income]]&lt;=60000,"Middle Income",IF(Sales_Data[[#This Row],[Income]]&lt;=80000,"Upper Middle","High Income"))))</f>
        <v>High Income</v>
      </c>
      <c r="F971">
        <v>1</v>
      </c>
      <c r="G971" t="s">
        <v>19</v>
      </c>
      <c r="H971" t="s">
        <v>46</v>
      </c>
      <c r="I971" t="s">
        <v>21</v>
      </c>
      <c r="J971">
        <v>4</v>
      </c>
      <c r="K971" t="s">
        <v>22</v>
      </c>
      <c r="L971" t="s">
        <v>63</v>
      </c>
      <c r="M971">
        <v>38</v>
      </c>
      <c r="N971" t="s">
        <v>24</v>
      </c>
      <c r="O971" t="s">
        <v>34</v>
      </c>
      <c r="P971" s="2">
        <v>9439.91</v>
      </c>
      <c r="Q971" t="s">
        <v>30</v>
      </c>
      <c r="R971" s="1">
        <v>45000</v>
      </c>
      <c r="S971" s="1"/>
    </row>
    <row r="972" spans="1:19" x14ac:dyDescent="0.3">
      <c r="A972">
        <v>15194</v>
      </c>
      <c r="B972" t="s">
        <v>35</v>
      </c>
      <c r="C972" t="s">
        <v>17</v>
      </c>
      <c r="D972">
        <v>120000</v>
      </c>
      <c r="E972" t="str">
        <f>IF(Sales_Data[[#This Row],[Income]]&lt;=20000,"Low Income",IF(Sales_Data[[#This Row],[Income]]&lt;=40000,"Lower Middle",IF(Sales_Data[[#This Row],[Income]]&lt;=60000,"Middle Income",IF(Sales_Data[[#This Row],[Income]]&lt;=80000,"Upper Middle","High Income"))))</f>
        <v>High Income</v>
      </c>
      <c r="F972">
        <v>2</v>
      </c>
      <c r="G972" t="s">
        <v>19</v>
      </c>
      <c r="H972" t="s">
        <v>46</v>
      </c>
      <c r="I972" t="s">
        <v>32</v>
      </c>
      <c r="J972">
        <v>3</v>
      </c>
      <c r="K972" t="s">
        <v>22</v>
      </c>
      <c r="L972" t="s">
        <v>63</v>
      </c>
      <c r="M972">
        <v>39</v>
      </c>
      <c r="N972" t="s">
        <v>24</v>
      </c>
      <c r="O972" t="s">
        <v>55</v>
      </c>
      <c r="P972" s="2">
        <v>1065.3699999999999</v>
      </c>
      <c r="Q972" t="s">
        <v>59</v>
      </c>
      <c r="R972" s="1">
        <v>45034</v>
      </c>
      <c r="S972" s="1"/>
    </row>
    <row r="973" spans="1:19" x14ac:dyDescent="0.3">
      <c r="A973">
        <v>18935</v>
      </c>
      <c r="B973" t="s">
        <v>17</v>
      </c>
      <c r="C973" t="s">
        <v>18</v>
      </c>
      <c r="D973">
        <v>130000</v>
      </c>
      <c r="E973" t="str">
        <f>IF(Sales_Data[[#This Row],[Income]]&lt;=20000,"Low Income",IF(Sales_Data[[#This Row],[Income]]&lt;=40000,"Lower Middle",IF(Sales_Data[[#This Row],[Income]]&lt;=60000,"Middle Income",IF(Sales_Data[[#This Row],[Income]]&lt;=80000,"Upper Middle","High Income"))))</f>
        <v>High Income</v>
      </c>
      <c r="F973">
        <v>0</v>
      </c>
      <c r="G973" t="s">
        <v>61</v>
      </c>
      <c r="H973" t="s">
        <v>46</v>
      </c>
      <c r="I973" t="s">
        <v>21</v>
      </c>
      <c r="J973">
        <v>3</v>
      </c>
      <c r="K973" t="s">
        <v>43</v>
      </c>
      <c r="L973" t="s">
        <v>63</v>
      </c>
      <c r="M973">
        <v>40</v>
      </c>
      <c r="N973" t="s">
        <v>38</v>
      </c>
      <c r="O973" t="s">
        <v>39</v>
      </c>
      <c r="P973" s="2">
        <v>6383.94</v>
      </c>
      <c r="Q973" t="s">
        <v>60</v>
      </c>
      <c r="R973" s="1">
        <v>45240</v>
      </c>
      <c r="S973" s="1"/>
    </row>
    <row r="974" spans="1:19" x14ac:dyDescent="0.3">
      <c r="A974">
        <v>16871</v>
      </c>
      <c r="B974" t="s">
        <v>17</v>
      </c>
      <c r="C974" t="s">
        <v>18</v>
      </c>
      <c r="D974">
        <v>90000</v>
      </c>
      <c r="E974" t="str">
        <f>IF(Sales_Data[[#This Row],[Income]]&lt;=20000,"Low Income",IF(Sales_Data[[#This Row],[Income]]&lt;=40000,"Lower Middle",IF(Sales_Data[[#This Row],[Income]]&lt;=60000,"Middle Income",IF(Sales_Data[[#This Row],[Income]]&lt;=80000,"Upper Middle","High Income"))))</f>
        <v>High Income</v>
      </c>
      <c r="F974">
        <v>2</v>
      </c>
      <c r="G974" t="s">
        <v>45</v>
      </c>
      <c r="H974" t="s">
        <v>31</v>
      </c>
      <c r="I974" t="s">
        <v>21</v>
      </c>
      <c r="J974">
        <v>1</v>
      </c>
      <c r="K974" t="s">
        <v>53</v>
      </c>
      <c r="L974" t="s">
        <v>63</v>
      </c>
      <c r="M974">
        <v>51</v>
      </c>
      <c r="N974" t="s">
        <v>24</v>
      </c>
      <c r="O974" t="s">
        <v>34</v>
      </c>
      <c r="P974" s="2">
        <v>2222.94</v>
      </c>
      <c r="Q974" t="s">
        <v>40</v>
      </c>
      <c r="R974" s="1">
        <v>45071</v>
      </c>
      <c r="S974" s="1"/>
    </row>
    <row r="975" spans="1:19" x14ac:dyDescent="0.3">
      <c r="A975">
        <v>20343</v>
      </c>
      <c r="B975" t="s">
        <v>17</v>
      </c>
      <c r="C975" t="s">
        <v>18</v>
      </c>
      <c r="D975">
        <v>90000</v>
      </c>
      <c r="E975" t="str">
        <f>IF(Sales_Data[[#This Row],[Income]]&lt;=20000,"Low Income",IF(Sales_Data[[#This Row],[Income]]&lt;=40000,"Lower Middle",IF(Sales_Data[[#This Row],[Income]]&lt;=60000,"Middle Income",IF(Sales_Data[[#This Row],[Income]]&lt;=80000,"Upper Middle","High Income"))))</f>
        <v>High Income</v>
      </c>
      <c r="F975">
        <v>4</v>
      </c>
      <c r="G975" t="s">
        <v>27</v>
      </c>
      <c r="H975" t="s">
        <v>31</v>
      </c>
      <c r="I975" t="s">
        <v>21</v>
      </c>
      <c r="J975">
        <v>1</v>
      </c>
      <c r="K975" t="s">
        <v>43</v>
      </c>
      <c r="L975" t="s">
        <v>63</v>
      </c>
      <c r="M975">
        <v>45</v>
      </c>
      <c r="N975" t="s">
        <v>38</v>
      </c>
      <c r="O975" t="s">
        <v>41</v>
      </c>
      <c r="P975" s="2">
        <v>6246.19</v>
      </c>
      <c r="Q975" t="s">
        <v>57</v>
      </c>
      <c r="R975" s="1">
        <v>45218</v>
      </c>
      <c r="S975" s="1"/>
    </row>
    <row r="976" spans="1:19" x14ac:dyDescent="0.3">
      <c r="A976">
        <v>24398</v>
      </c>
      <c r="B976" t="s">
        <v>17</v>
      </c>
      <c r="C976" t="s">
        <v>17</v>
      </c>
      <c r="D976">
        <v>130000</v>
      </c>
      <c r="E976" t="str">
        <f>IF(Sales_Data[[#This Row],[Income]]&lt;=20000,"Low Income",IF(Sales_Data[[#This Row],[Income]]&lt;=40000,"Lower Middle",IF(Sales_Data[[#This Row],[Income]]&lt;=60000,"Middle Income",IF(Sales_Data[[#This Row],[Income]]&lt;=80000,"Upper Middle","High Income"))))</f>
        <v>High Income</v>
      </c>
      <c r="F976">
        <v>1</v>
      </c>
      <c r="G976" t="s">
        <v>61</v>
      </c>
      <c r="H976" t="s">
        <v>46</v>
      </c>
      <c r="I976" t="s">
        <v>21</v>
      </c>
      <c r="J976">
        <v>4</v>
      </c>
      <c r="K976" t="s">
        <v>22</v>
      </c>
      <c r="L976" t="s">
        <v>63</v>
      </c>
      <c r="M976">
        <v>41</v>
      </c>
      <c r="N976" t="s">
        <v>38</v>
      </c>
      <c r="O976" t="s">
        <v>39</v>
      </c>
      <c r="P976" s="2">
        <v>3998.09</v>
      </c>
      <c r="Q976" t="s">
        <v>60</v>
      </c>
      <c r="R976" s="1">
        <v>45247</v>
      </c>
      <c r="S976" s="1"/>
    </row>
    <row r="977" spans="1:19" x14ac:dyDescent="0.3">
      <c r="A977">
        <v>25184</v>
      </c>
      <c r="B977" t="s">
        <v>35</v>
      </c>
      <c r="C977" t="s">
        <v>17</v>
      </c>
      <c r="D977">
        <v>110000</v>
      </c>
      <c r="E977" t="str">
        <f>IF(Sales_Data[[#This Row],[Income]]&lt;=20000,"Low Income",IF(Sales_Data[[#This Row],[Income]]&lt;=40000,"Lower Middle",IF(Sales_Data[[#This Row],[Income]]&lt;=60000,"Middle Income",IF(Sales_Data[[#This Row],[Income]]&lt;=80000,"Upper Middle","High Income"))))</f>
        <v>High Income</v>
      </c>
      <c r="F977">
        <v>1</v>
      </c>
      <c r="G977" t="s">
        <v>27</v>
      </c>
      <c r="H977" t="s">
        <v>31</v>
      </c>
      <c r="I977" t="s">
        <v>21</v>
      </c>
      <c r="J977">
        <v>4</v>
      </c>
      <c r="K977" t="s">
        <v>36</v>
      </c>
      <c r="L977" t="s">
        <v>63</v>
      </c>
      <c r="M977">
        <v>45</v>
      </c>
      <c r="N977" t="s">
        <v>38</v>
      </c>
      <c r="O977" t="s">
        <v>62</v>
      </c>
      <c r="P977" s="2">
        <v>3538.3</v>
      </c>
      <c r="Q977" t="s">
        <v>48</v>
      </c>
      <c r="R977" s="1">
        <v>45142</v>
      </c>
      <c r="S977" s="1"/>
    </row>
    <row r="978" spans="1:19" x14ac:dyDescent="0.3">
      <c r="A978">
        <v>14469</v>
      </c>
      <c r="B978" t="s">
        <v>17</v>
      </c>
      <c r="C978" t="s">
        <v>18</v>
      </c>
      <c r="D978">
        <v>100000</v>
      </c>
      <c r="E978" t="str">
        <f>IF(Sales_Data[[#This Row],[Income]]&lt;=20000,"Low Income",IF(Sales_Data[[#This Row],[Income]]&lt;=40000,"Lower Middle",IF(Sales_Data[[#This Row],[Income]]&lt;=60000,"Middle Income",IF(Sales_Data[[#This Row],[Income]]&lt;=80000,"Upper Middle","High Income"))))</f>
        <v>High Income</v>
      </c>
      <c r="F978">
        <v>3</v>
      </c>
      <c r="G978" t="s">
        <v>27</v>
      </c>
      <c r="H978" t="s">
        <v>31</v>
      </c>
      <c r="I978" t="s">
        <v>21</v>
      </c>
      <c r="J978">
        <v>4</v>
      </c>
      <c r="K978" t="s">
        <v>43</v>
      </c>
      <c r="L978" t="s">
        <v>63</v>
      </c>
      <c r="M978">
        <v>45</v>
      </c>
      <c r="N978" t="s">
        <v>38</v>
      </c>
      <c r="O978" t="s">
        <v>41</v>
      </c>
      <c r="P978" s="2">
        <v>8739.49</v>
      </c>
      <c r="Q978" t="s">
        <v>59</v>
      </c>
      <c r="R978" s="1">
        <v>45032</v>
      </c>
      <c r="S978" s="1"/>
    </row>
    <row r="979" spans="1:19" x14ac:dyDescent="0.3">
      <c r="A979">
        <v>11259</v>
      </c>
      <c r="B979" t="s">
        <v>17</v>
      </c>
      <c r="C979" t="s">
        <v>18</v>
      </c>
      <c r="D979">
        <v>100000</v>
      </c>
      <c r="E979" t="str">
        <f>IF(Sales_Data[[#This Row],[Income]]&lt;=20000,"Low Income",IF(Sales_Data[[#This Row],[Income]]&lt;=40000,"Lower Middle",IF(Sales_Data[[#This Row],[Income]]&lt;=60000,"Middle Income",IF(Sales_Data[[#This Row],[Income]]&lt;=80000,"Upper Middle","High Income"))))</f>
        <v>High Income</v>
      </c>
      <c r="F979">
        <v>4</v>
      </c>
      <c r="G979" t="s">
        <v>27</v>
      </c>
      <c r="H979" t="s">
        <v>31</v>
      </c>
      <c r="I979" t="s">
        <v>21</v>
      </c>
      <c r="J979">
        <v>4</v>
      </c>
      <c r="K979" t="s">
        <v>33</v>
      </c>
      <c r="L979" t="s">
        <v>63</v>
      </c>
      <c r="M979">
        <v>41</v>
      </c>
      <c r="N979" t="s">
        <v>38</v>
      </c>
      <c r="O979" t="s">
        <v>41</v>
      </c>
      <c r="P979" s="2">
        <v>4215.58</v>
      </c>
      <c r="Q979" t="s">
        <v>48</v>
      </c>
      <c r="R979" s="1">
        <v>45159</v>
      </c>
      <c r="S979" s="1"/>
    </row>
    <row r="980" spans="1:19" x14ac:dyDescent="0.3">
      <c r="A980">
        <v>22088</v>
      </c>
      <c r="B980" t="s">
        <v>17</v>
      </c>
      <c r="C980" t="s">
        <v>18</v>
      </c>
      <c r="D980">
        <v>130000</v>
      </c>
      <c r="E980" t="str">
        <f>IF(Sales_Data[[#This Row],[Income]]&lt;=20000,"Low Income",IF(Sales_Data[[#This Row],[Income]]&lt;=40000,"Lower Middle",IF(Sales_Data[[#This Row],[Income]]&lt;=60000,"Middle Income",IF(Sales_Data[[#This Row],[Income]]&lt;=80000,"Upper Middle","High Income"))))</f>
        <v>High Income</v>
      </c>
      <c r="F980">
        <v>1</v>
      </c>
      <c r="G980" t="s">
        <v>19</v>
      </c>
      <c r="H980" t="s">
        <v>46</v>
      </c>
      <c r="I980" t="s">
        <v>21</v>
      </c>
      <c r="J980">
        <v>2</v>
      </c>
      <c r="K980" t="s">
        <v>22</v>
      </c>
      <c r="L980" t="s">
        <v>63</v>
      </c>
      <c r="M980">
        <v>45</v>
      </c>
      <c r="N980" t="s">
        <v>24</v>
      </c>
      <c r="O980" t="s">
        <v>55</v>
      </c>
      <c r="P980" s="2">
        <v>653.73</v>
      </c>
      <c r="Q980" t="s">
        <v>57</v>
      </c>
      <c r="R980" s="1">
        <v>45218</v>
      </c>
      <c r="S980" s="1"/>
    </row>
    <row r="981" spans="1:19" x14ac:dyDescent="0.3">
      <c r="A981">
        <v>29237</v>
      </c>
      <c r="B981" t="s">
        <v>35</v>
      </c>
      <c r="C981" t="s">
        <v>18</v>
      </c>
      <c r="D981">
        <v>120000</v>
      </c>
      <c r="E981" t="str">
        <f>IF(Sales_Data[[#This Row],[Income]]&lt;=20000,"Low Income",IF(Sales_Data[[#This Row],[Income]]&lt;=40000,"Lower Middle",IF(Sales_Data[[#This Row],[Income]]&lt;=60000,"Middle Income",IF(Sales_Data[[#This Row],[Income]]&lt;=80000,"Upper Middle","High Income"))))</f>
        <v>High Income</v>
      </c>
      <c r="F981">
        <v>4</v>
      </c>
      <c r="G981" t="s">
        <v>27</v>
      </c>
      <c r="H981" t="s">
        <v>31</v>
      </c>
      <c r="I981" t="s">
        <v>21</v>
      </c>
      <c r="J981">
        <v>3</v>
      </c>
      <c r="K981" t="s">
        <v>36</v>
      </c>
      <c r="L981" t="s">
        <v>63</v>
      </c>
      <c r="M981">
        <v>43</v>
      </c>
      <c r="N981" t="s">
        <v>38</v>
      </c>
      <c r="O981" t="s">
        <v>41</v>
      </c>
      <c r="P981" s="2">
        <v>1968.67</v>
      </c>
      <c r="Q981" t="s">
        <v>51</v>
      </c>
      <c r="R981" s="1">
        <v>45105</v>
      </c>
      <c r="S981" s="1"/>
    </row>
    <row r="982" spans="1:19" x14ac:dyDescent="0.3">
      <c r="A982">
        <v>14507</v>
      </c>
      <c r="B982" t="s">
        <v>17</v>
      </c>
      <c r="C982" t="s">
        <v>17</v>
      </c>
      <c r="D982">
        <v>100000</v>
      </c>
      <c r="E982" t="str">
        <f>IF(Sales_Data[[#This Row],[Income]]&lt;=20000,"Low Income",IF(Sales_Data[[#This Row],[Income]]&lt;=40000,"Lower Middle",IF(Sales_Data[[#This Row],[Income]]&lt;=60000,"Middle Income",IF(Sales_Data[[#This Row],[Income]]&lt;=80000,"Upper Middle","High Income"))))</f>
        <v>High Income</v>
      </c>
      <c r="F982">
        <v>2</v>
      </c>
      <c r="G982" t="s">
        <v>61</v>
      </c>
      <c r="H982" t="s">
        <v>46</v>
      </c>
      <c r="I982" t="s">
        <v>21</v>
      </c>
      <c r="J982">
        <v>3</v>
      </c>
      <c r="K982" t="s">
        <v>43</v>
      </c>
      <c r="L982" t="s">
        <v>63</v>
      </c>
      <c r="M982">
        <v>65</v>
      </c>
      <c r="N982" t="s">
        <v>24</v>
      </c>
      <c r="O982" t="s">
        <v>49</v>
      </c>
      <c r="P982" s="2">
        <v>5697.88</v>
      </c>
      <c r="Q982" t="s">
        <v>52</v>
      </c>
      <c r="R982" s="1">
        <v>44966</v>
      </c>
      <c r="S982" s="1"/>
    </row>
    <row r="983" spans="1:19" x14ac:dyDescent="0.3">
      <c r="A983">
        <v>27637</v>
      </c>
      <c r="B983" t="s">
        <v>35</v>
      </c>
      <c r="C983" t="s">
        <v>18</v>
      </c>
      <c r="D983">
        <v>100000</v>
      </c>
      <c r="E983" t="str">
        <f>IF(Sales_Data[[#This Row],[Income]]&lt;=20000,"Low Income",IF(Sales_Data[[#This Row],[Income]]&lt;=40000,"Lower Middle",IF(Sales_Data[[#This Row],[Income]]&lt;=60000,"Middle Income",IF(Sales_Data[[#This Row],[Income]]&lt;=80000,"Upper Middle","High Income"))))</f>
        <v>High Income</v>
      </c>
      <c r="F983">
        <v>1</v>
      </c>
      <c r="G983" t="s">
        <v>27</v>
      </c>
      <c r="H983" t="s">
        <v>31</v>
      </c>
      <c r="I983" t="s">
        <v>32</v>
      </c>
      <c r="J983">
        <v>3</v>
      </c>
      <c r="K983" t="s">
        <v>43</v>
      </c>
      <c r="L983" t="s">
        <v>63</v>
      </c>
      <c r="M983">
        <v>44</v>
      </c>
      <c r="N983" t="s">
        <v>24</v>
      </c>
      <c r="O983" t="s">
        <v>25</v>
      </c>
      <c r="P983" s="2">
        <v>8956.5499999999993</v>
      </c>
      <c r="Q983" t="s">
        <v>40</v>
      </c>
      <c r="R983" s="1">
        <v>45061</v>
      </c>
      <c r="S983" s="1"/>
    </row>
    <row r="984" spans="1:19" x14ac:dyDescent="0.3">
      <c r="A984">
        <v>14443</v>
      </c>
      <c r="B984" t="s">
        <v>17</v>
      </c>
      <c r="C984" t="s">
        <v>17</v>
      </c>
      <c r="D984">
        <v>130000</v>
      </c>
      <c r="E984" t="str">
        <f>IF(Sales_Data[[#This Row],[Income]]&lt;=20000,"Low Income",IF(Sales_Data[[#This Row],[Income]]&lt;=40000,"Lower Middle",IF(Sales_Data[[#This Row],[Income]]&lt;=60000,"Middle Income",IF(Sales_Data[[#This Row],[Income]]&lt;=80000,"Upper Middle","High Income"))))</f>
        <v>High Income</v>
      </c>
      <c r="F984">
        <v>1</v>
      </c>
      <c r="G984" t="s">
        <v>61</v>
      </c>
      <c r="H984" t="s">
        <v>46</v>
      </c>
      <c r="I984" t="s">
        <v>21</v>
      </c>
      <c r="J984">
        <v>4</v>
      </c>
      <c r="K984" t="s">
        <v>22</v>
      </c>
      <c r="L984" t="s">
        <v>63</v>
      </c>
      <c r="M984">
        <v>40</v>
      </c>
      <c r="N984" t="s">
        <v>38</v>
      </c>
      <c r="O984" t="s">
        <v>54</v>
      </c>
      <c r="P984" s="2">
        <v>6589.39</v>
      </c>
      <c r="Q984" t="s">
        <v>52</v>
      </c>
      <c r="R984" s="1">
        <v>44981</v>
      </c>
      <c r="S984" s="1"/>
    </row>
    <row r="985" spans="1:19" x14ac:dyDescent="0.3">
      <c r="A985">
        <v>18517</v>
      </c>
      <c r="B985" t="s">
        <v>17</v>
      </c>
      <c r="C985" t="s">
        <v>17</v>
      </c>
      <c r="D985">
        <v>100000</v>
      </c>
      <c r="E985" t="str">
        <f>IF(Sales_Data[[#This Row],[Income]]&lt;=20000,"Low Income",IF(Sales_Data[[#This Row],[Income]]&lt;=40000,"Lower Middle",IF(Sales_Data[[#This Row],[Income]]&lt;=60000,"Middle Income",IF(Sales_Data[[#This Row],[Income]]&lt;=80000,"Upper Middle","High Income"))))</f>
        <v>High Income</v>
      </c>
      <c r="F985">
        <v>3</v>
      </c>
      <c r="G985" t="s">
        <v>19</v>
      </c>
      <c r="H985" t="s">
        <v>46</v>
      </c>
      <c r="I985" t="s">
        <v>21</v>
      </c>
      <c r="J985">
        <v>4</v>
      </c>
      <c r="K985" t="s">
        <v>22</v>
      </c>
      <c r="L985" t="s">
        <v>63</v>
      </c>
      <c r="M985">
        <v>41</v>
      </c>
      <c r="N985" t="s">
        <v>38</v>
      </c>
      <c r="O985" t="s">
        <v>54</v>
      </c>
      <c r="P985" s="2">
        <v>3163.26</v>
      </c>
      <c r="Q985" t="s">
        <v>58</v>
      </c>
      <c r="R985" s="1">
        <v>45116</v>
      </c>
      <c r="S985" s="1"/>
    </row>
    <row r="986" spans="1:19" x14ac:dyDescent="0.3">
      <c r="A986">
        <v>23461</v>
      </c>
      <c r="B986" t="s">
        <v>17</v>
      </c>
      <c r="C986" t="s">
        <v>18</v>
      </c>
      <c r="D986">
        <v>90000</v>
      </c>
      <c r="E986" t="str">
        <f>IF(Sales_Data[[#This Row],[Income]]&lt;=20000,"Low Income",IF(Sales_Data[[#This Row],[Income]]&lt;=40000,"Lower Middle",IF(Sales_Data[[#This Row],[Income]]&lt;=60000,"Middle Income",IF(Sales_Data[[#This Row],[Income]]&lt;=80000,"Upper Middle","High Income"))))</f>
        <v>High Income</v>
      </c>
      <c r="F986">
        <v>5</v>
      </c>
      <c r="G986" t="s">
        <v>27</v>
      </c>
      <c r="H986" t="s">
        <v>31</v>
      </c>
      <c r="I986" t="s">
        <v>21</v>
      </c>
      <c r="J986">
        <v>3</v>
      </c>
      <c r="K986" t="s">
        <v>33</v>
      </c>
      <c r="L986" t="s">
        <v>63</v>
      </c>
      <c r="M986">
        <v>40</v>
      </c>
      <c r="N986" t="s">
        <v>38</v>
      </c>
      <c r="O986" t="s">
        <v>62</v>
      </c>
      <c r="P986" s="2">
        <v>1204.6099999999999</v>
      </c>
      <c r="Q986" t="s">
        <v>51</v>
      </c>
      <c r="R986" s="1">
        <v>45092</v>
      </c>
      <c r="S986" s="1"/>
    </row>
    <row r="987" spans="1:19" x14ac:dyDescent="0.3">
      <c r="A987">
        <v>28269</v>
      </c>
      <c r="B987" t="s">
        <v>35</v>
      </c>
      <c r="C987" t="s">
        <v>18</v>
      </c>
      <c r="D987">
        <v>130000</v>
      </c>
      <c r="E987" t="str">
        <f>IF(Sales_Data[[#This Row],[Income]]&lt;=20000,"Low Income",IF(Sales_Data[[#This Row],[Income]]&lt;=40000,"Lower Middle",IF(Sales_Data[[#This Row],[Income]]&lt;=60000,"Middle Income",IF(Sales_Data[[#This Row],[Income]]&lt;=80000,"Upper Middle","High Income"))))</f>
        <v>High Income</v>
      </c>
      <c r="F987">
        <v>1</v>
      </c>
      <c r="G987" t="s">
        <v>19</v>
      </c>
      <c r="H987" t="s">
        <v>46</v>
      </c>
      <c r="I987" t="s">
        <v>32</v>
      </c>
      <c r="J987">
        <v>1</v>
      </c>
      <c r="K987" t="s">
        <v>33</v>
      </c>
      <c r="L987" t="s">
        <v>63</v>
      </c>
      <c r="M987">
        <v>45</v>
      </c>
      <c r="N987" t="s">
        <v>38</v>
      </c>
      <c r="O987" t="s">
        <v>54</v>
      </c>
      <c r="P987" s="2">
        <v>9888.8700000000008</v>
      </c>
      <c r="Q987" t="s">
        <v>48</v>
      </c>
      <c r="R987" s="1">
        <v>45144</v>
      </c>
      <c r="S987" s="1"/>
    </row>
    <row r="988" spans="1:19" x14ac:dyDescent="0.3">
      <c r="A988">
        <v>23479</v>
      </c>
      <c r="B988" t="s">
        <v>35</v>
      </c>
      <c r="C988" t="s">
        <v>17</v>
      </c>
      <c r="D988">
        <v>90000</v>
      </c>
      <c r="E988" t="str">
        <f>IF(Sales_Data[[#This Row],[Income]]&lt;=20000,"Low Income",IF(Sales_Data[[#This Row],[Income]]&lt;=40000,"Lower Middle",IF(Sales_Data[[#This Row],[Income]]&lt;=60000,"Middle Income",IF(Sales_Data[[#This Row],[Income]]&lt;=80000,"Upper Middle","High Income"))))</f>
        <v>High Income</v>
      </c>
      <c r="F988">
        <v>0</v>
      </c>
      <c r="G988" t="s">
        <v>27</v>
      </c>
      <c r="H988" t="s">
        <v>31</v>
      </c>
      <c r="I988" t="s">
        <v>32</v>
      </c>
      <c r="J988">
        <v>2</v>
      </c>
      <c r="K988" t="s">
        <v>22</v>
      </c>
      <c r="L988" t="s">
        <v>63</v>
      </c>
      <c r="M988">
        <v>43</v>
      </c>
      <c r="N988" t="s">
        <v>24</v>
      </c>
      <c r="O988" t="s">
        <v>55</v>
      </c>
      <c r="P988" s="2">
        <v>7192.38</v>
      </c>
      <c r="Q988" t="s">
        <v>56</v>
      </c>
      <c r="R988" s="1">
        <v>45193</v>
      </c>
      <c r="S988" s="1"/>
    </row>
    <row r="989" spans="1:19" x14ac:dyDescent="0.3">
      <c r="A989">
        <v>13314</v>
      </c>
      <c r="B989" t="s">
        <v>17</v>
      </c>
      <c r="C989" t="s">
        <v>17</v>
      </c>
      <c r="D989">
        <v>120000</v>
      </c>
      <c r="E989" t="str">
        <f>IF(Sales_Data[[#This Row],[Income]]&lt;=20000,"Low Income",IF(Sales_Data[[#This Row],[Income]]&lt;=40000,"Lower Middle",IF(Sales_Data[[#This Row],[Income]]&lt;=60000,"Middle Income",IF(Sales_Data[[#This Row],[Income]]&lt;=80000,"Upper Middle","High Income"))))</f>
        <v>High Income</v>
      </c>
      <c r="F989">
        <v>1</v>
      </c>
      <c r="G989" t="s">
        <v>45</v>
      </c>
      <c r="H989" t="s">
        <v>31</v>
      </c>
      <c r="I989" t="s">
        <v>21</v>
      </c>
      <c r="J989">
        <v>4</v>
      </c>
      <c r="K989" t="s">
        <v>36</v>
      </c>
      <c r="L989" t="s">
        <v>63</v>
      </c>
      <c r="M989">
        <v>46</v>
      </c>
      <c r="N989" t="s">
        <v>24</v>
      </c>
      <c r="O989" t="s">
        <v>25</v>
      </c>
      <c r="P989" s="2">
        <v>3546.84</v>
      </c>
      <c r="Q989" t="s">
        <v>56</v>
      </c>
      <c r="R989" s="1">
        <v>45193</v>
      </c>
      <c r="S989" s="1"/>
    </row>
    <row r="990" spans="1:19" x14ac:dyDescent="0.3">
      <c r="A990">
        <v>19661</v>
      </c>
      <c r="B990" t="s">
        <v>35</v>
      </c>
      <c r="C990" t="s">
        <v>17</v>
      </c>
      <c r="D990">
        <v>90000</v>
      </c>
      <c r="E990" t="str">
        <f>IF(Sales_Data[[#This Row],[Income]]&lt;=20000,"Low Income",IF(Sales_Data[[#This Row],[Income]]&lt;=40000,"Lower Middle",IF(Sales_Data[[#This Row],[Income]]&lt;=60000,"Middle Income",IF(Sales_Data[[#This Row],[Income]]&lt;=80000,"Upper Middle","High Income"))))</f>
        <v>High Income</v>
      </c>
      <c r="F990">
        <v>4</v>
      </c>
      <c r="G990" t="s">
        <v>19</v>
      </c>
      <c r="H990" t="s">
        <v>46</v>
      </c>
      <c r="I990" t="s">
        <v>21</v>
      </c>
      <c r="J990">
        <v>1</v>
      </c>
      <c r="K990" t="s">
        <v>43</v>
      </c>
      <c r="L990" t="s">
        <v>63</v>
      </c>
      <c r="M990">
        <v>38</v>
      </c>
      <c r="N990" t="s">
        <v>38</v>
      </c>
      <c r="O990" t="s">
        <v>47</v>
      </c>
      <c r="P990" s="2">
        <v>8686.48</v>
      </c>
      <c r="Q990" t="s">
        <v>59</v>
      </c>
      <c r="R990" s="1">
        <v>45043</v>
      </c>
      <c r="S990" s="1"/>
    </row>
    <row r="991" spans="1:19" x14ac:dyDescent="0.3">
      <c r="A991">
        <v>13287</v>
      </c>
      <c r="B991" t="s">
        <v>35</v>
      </c>
      <c r="C991" t="s">
        <v>17</v>
      </c>
      <c r="D991">
        <v>110000</v>
      </c>
      <c r="E991" t="str">
        <f>IF(Sales_Data[[#This Row],[Income]]&lt;=20000,"Low Income",IF(Sales_Data[[#This Row],[Income]]&lt;=40000,"Lower Middle",IF(Sales_Data[[#This Row],[Income]]&lt;=60000,"Middle Income",IF(Sales_Data[[#This Row],[Income]]&lt;=80000,"Upper Middle","High Income"))))</f>
        <v>High Income</v>
      </c>
      <c r="F991">
        <v>4</v>
      </c>
      <c r="G991" t="s">
        <v>19</v>
      </c>
      <c r="H991" t="s">
        <v>46</v>
      </c>
      <c r="I991" t="s">
        <v>21</v>
      </c>
      <c r="J991">
        <v>4</v>
      </c>
      <c r="K991" t="s">
        <v>36</v>
      </c>
      <c r="L991" t="s">
        <v>63</v>
      </c>
      <c r="M991">
        <v>42</v>
      </c>
      <c r="N991" t="s">
        <v>38</v>
      </c>
      <c r="O991" t="s">
        <v>62</v>
      </c>
      <c r="P991" s="2">
        <v>8259.2199999999993</v>
      </c>
      <c r="Q991" t="s">
        <v>51</v>
      </c>
      <c r="R991" s="1">
        <v>45106</v>
      </c>
      <c r="S991" s="1"/>
    </row>
    <row r="992" spans="1:19" x14ac:dyDescent="0.3">
      <c r="A992">
        <v>11270</v>
      </c>
      <c r="B992" t="s">
        <v>17</v>
      </c>
      <c r="C992" t="s">
        <v>17</v>
      </c>
      <c r="D992">
        <v>130000</v>
      </c>
      <c r="E992" t="str">
        <f>IF(Sales_Data[[#This Row],[Income]]&lt;=20000,"Low Income",IF(Sales_Data[[#This Row],[Income]]&lt;=40000,"Lower Middle",IF(Sales_Data[[#This Row],[Income]]&lt;=60000,"Middle Income",IF(Sales_Data[[#This Row],[Income]]&lt;=80000,"Upper Middle","High Income"))))</f>
        <v>High Income</v>
      </c>
      <c r="F992">
        <v>2</v>
      </c>
      <c r="G992" t="s">
        <v>61</v>
      </c>
      <c r="H992" t="s">
        <v>46</v>
      </c>
      <c r="I992" t="s">
        <v>21</v>
      </c>
      <c r="J992">
        <v>3</v>
      </c>
      <c r="K992" t="s">
        <v>22</v>
      </c>
      <c r="L992" t="s">
        <v>63</v>
      </c>
      <c r="M992">
        <v>42</v>
      </c>
      <c r="N992" t="s">
        <v>24</v>
      </c>
      <c r="O992" t="s">
        <v>55</v>
      </c>
      <c r="P992" s="2">
        <v>6244.33</v>
      </c>
      <c r="Q992" t="s">
        <v>48</v>
      </c>
      <c r="R992" s="1">
        <v>45149</v>
      </c>
      <c r="S992" s="1"/>
    </row>
    <row r="993" spans="1:19" x14ac:dyDescent="0.3">
      <c r="A993">
        <v>23027</v>
      </c>
      <c r="B993" t="s">
        <v>35</v>
      </c>
      <c r="C993" t="s">
        <v>17</v>
      </c>
      <c r="D993">
        <v>130000</v>
      </c>
      <c r="E993" t="str">
        <f>IF(Sales_Data[[#This Row],[Income]]&lt;=20000,"Low Income",IF(Sales_Data[[#This Row],[Income]]&lt;=40000,"Lower Middle",IF(Sales_Data[[#This Row],[Income]]&lt;=60000,"Middle Income",IF(Sales_Data[[#This Row],[Income]]&lt;=80000,"Upper Middle","High Income"))))</f>
        <v>High Income</v>
      </c>
      <c r="F993">
        <v>1</v>
      </c>
      <c r="G993" t="s">
        <v>19</v>
      </c>
      <c r="H993" t="s">
        <v>46</v>
      </c>
      <c r="I993" t="s">
        <v>32</v>
      </c>
      <c r="J993">
        <v>4</v>
      </c>
      <c r="K993" t="s">
        <v>22</v>
      </c>
      <c r="L993" t="s">
        <v>63</v>
      </c>
      <c r="M993">
        <v>44</v>
      </c>
      <c r="N993" t="s">
        <v>38</v>
      </c>
      <c r="O993" t="s">
        <v>41</v>
      </c>
      <c r="P993" s="2">
        <v>3959.28</v>
      </c>
      <c r="Q993" t="s">
        <v>48</v>
      </c>
      <c r="R993" s="1">
        <v>45166</v>
      </c>
      <c r="S993" s="1"/>
    </row>
    <row r="994" spans="1:19" x14ac:dyDescent="0.3">
      <c r="A994">
        <v>16867</v>
      </c>
      <c r="B994" t="s">
        <v>35</v>
      </c>
      <c r="C994" t="s">
        <v>18</v>
      </c>
      <c r="D994">
        <v>130000</v>
      </c>
      <c r="E994" t="str">
        <f>IF(Sales_Data[[#This Row],[Income]]&lt;=20000,"Low Income",IF(Sales_Data[[#This Row],[Income]]&lt;=40000,"Lower Middle",IF(Sales_Data[[#This Row],[Income]]&lt;=60000,"Middle Income",IF(Sales_Data[[#This Row],[Income]]&lt;=80000,"Upper Middle","High Income"))))</f>
        <v>High Income</v>
      </c>
      <c r="F994">
        <v>1</v>
      </c>
      <c r="G994" t="s">
        <v>19</v>
      </c>
      <c r="H994" t="s">
        <v>46</v>
      </c>
      <c r="I994" t="s">
        <v>32</v>
      </c>
      <c r="J994">
        <v>3</v>
      </c>
      <c r="K994" t="s">
        <v>22</v>
      </c>
      <c r="L994" t="s">
        <v>63</v>
      </c>
      <c r="M994">
        <v>45</v>
      </c>
      <c r="N994" t="s">
        <v>38</v>
      </c>
      <c r="O994" t="s">
        <v>62</v>
      </c>
      <c r="P994" s="2">
        <v>1596.58</v>
      </c>
      <c r="Q994" t="s">
        <v>48</v>
      </c>
      <c r="R994" s="1">
        <v>45164</v>
      </c>
      <c r="S994" s="1"/>
    </row>
    <row r="995" spans="1:19" x14ac:dyDescent="0.3">
      <c r="A995">
        <v>13296</v>
      </c>
      <c r="B995" t="s">
        <v>17</v>
      </c>
      <c r="C995" t="s">
        <v>17</v>
      </c>
      <c r="D995">
        <v>110000</v>
      </c>
      <c r="E995" t="str">
        <f>IF(Sales_Data[[#This Row],[Income]]&lt;=20000,"Low Income",IF(Sales_Data[[#This Row],[Income]]&lt;=40000,"Lower Middle",IF(Sales_Data[[#This Row],[Income]]&lt;=60000,"Middle Income",IF(Sales_Data[[#This Row],[Income]]&lt;=80000,"Upper Middle","High Income"))))</f>
        <v>High Income</v>
      </c>
      <c r="F995">
        <v>1</v>
      </c>
      <c r="G995" t="s">
        <v>19</v>
      </c>
      <c r="H995" t="s">
        <v>46</v>
      </c>
      <c r="I995" t="s">
        <v>21</v>
      </c>
      <c r="J995">
        <v>3</v>
      </c>
      <c r="K995" t="s">
        <v>36</v>
      </c>
      <c r="L995" t="s">
        <v>63</v>
      </c>
      <c r="M995">
        <v>45</v>
      </c>
      <c r="N995" t="s">
        <v>38</v>
      </c>
      <c r="O995" t="s">
        <v>41</v>
      </c>
      <c r="P995" s="2">
        <v>9439.36</v>
      </c>
      <c r="Q995" t="s">
        <v>60</v>
      </c>
      <c r="R995" s="1">
        <v>45244</v>
      </c>
      <c r="S995" s="1"/>
    </row>
    <row r="996" spans="1:19" x14ac:dyDescent="0.3">
      <c r="A996">
        <v>15412</v>
      </c>
      <c r="B996" t="s">
        <v>17</v>
      </c>
      <c r="C996" t="s">
        <v>17</v>
      </c>
      <c r="D996">
        <v>130000</v>
      </c>
      <c r="E996" t="str">
        <f>IF(Sales_Data[[#This Row],[Income]]&lt;=20000,"Low Income",IF(Sales_Data[[#This Row],[Income]]&lt;=40000,"Lower Middle",IF(Sales_Data[[#This Row],[Income]]&lt;=60000,"Middle Income",IF(Sales_Data[[#This Row],[Income]]&lt;=80000,"Upper Middle","High Income"))))</f>
        <v>High Income</v>
      </c>
      <c r="F996">
        <v>2</v>
      </c>
      <c r="G996" t="s">
        <v>61</v>
      </c>
      <c r="H996" t="s">
        <v>46</v>
      </c>
      <c r="I996" t="s">
        <v>21</v>
      </c>
      <c r="J996">
        <v>3</v>
      </c>
      <c r="K996" t="s">
        <v>33</v>
      </c>
      <c r="L996" t="s">
        <v>63</v>
      </c>
      <c r="M996">
        <v>69</v>
      </c>
      <c r="N996" t="s">
        <v>38</v>
      </c>
      <c r="O996" t="s">
        <v>54</v>
      </c>
      <c r="P996" s="2">
        <v>3349.25</v>
      </c>
      <c r="Q996" t="s">
        <v>56</v>
      </c>
      <c r="R996" s="1">
        <v>45175</v>
      </c>
      <c r="S996" s="1"/>
    </row>
    <row r="997" spans="1:19" x14ac:dyDescent="0.3">
      <c r="A997">
        <v>13313</v>
      </c>
      <c r="B997" t="s">
        <v>17</v>
      </c>
      <c r="C997" t="s">
        <v>18</v>
      </c>
      <c r="D997">
        <v>120000</v>
      </c>
      <c r="E997" t="str">
        <f>IF(Sales_Data[[#This Row],[Income]]&lt;=20000,"Low Income",IF(Sales_Data[[#This Row],[Income]]&lt;=40000,"Lower Middle",IF(Sales_Data[[#This Row],[Income]]&lt;=60000,"Middle Income",IF(Sales_Data[[#This Row],[Income]]&lt;=80000,"Upper Middle","High Income"))))</f>
        <v>High Income</v>
      </c>
      <c r="F997">
        <v>1</v>
      </c>
      <c r="G997" t="s">
        <v>45</v>
      </c>
      <c r="H997" t="s">
        <v>31</v>
      </c>
      <c r="I997" t="s">
        <v>32</v>
      </c>
      <c r="J997">
        <v>4</v>
      </c>
      <c r="K997" t="s">
        <v>33</v>
      </c>
      <c r="L997" t="s">
        <v>63</v>
      </c>
      <c r="M997">
        <v>45</v>
      </c>
      <c r="N997" t="s">
        <v>24</v>
      </c>
      <c r="O997" t="s">
        <v>49</v>
      </c>
      <c r="P997" s="2">
        <v>1767.18</v>
      </c>
      <c r="Q997" t="s">
        <v>51</v>
      </c>
      <c r="R997" s="1">
        <v>45086</v>
      </c>
      <c r="S997" s="1"/>
    </row>
    <row r="998" spans="1:19" x14ac:dyDescent="0.3">
      <c r="A998">
        <v>18952</v>
      </c>
      <c r="B998" t="s">
        <v>17</v>
      </c>
      <c r="C998" t="s">
        <v>18</v>
      </c>
      <c r="D998">
        <v>100000</v>
      </c>
      <c r="E998" t="str">
        <f>IF(Sales_Data[[#This Row],[Income]]&lt;=20000,"Low Income",IF(Sales_Data[[#This Row],[Income]]&lt;=40000,"Lower Middle",IF(Sales_Data[[#This Row],[Income]]&lt;=60000,"Middle Income",IF(Sales_Data[[#This Row],[Income]]&lt;=80000,"Upper Middle","High Income"))))</f>
        <v>High Income</v>
      </c>
      <c r="F998">
        <v>4</v>
      </c>
      <c r="G998" t="s">
        <v>19</v>
      </c>
      <c r="H998" t="s">
        <v>46</v>
      </c>
      <c r="I998" t="s">
        <v>21</v>
      </c>
      <c r="J998">
        <v>4</v>
      </c>
      <c r="K998" t="s">
        <v>22</v>
      </c>
      <c r="L998" t="s">
        <v>63</v>
      </c>
      <c r="M998">
        <v>40</v>
      </c>
      <c r="N998" t="s">
        <v>24</v>
      </c>
      <c r="O998" t="s">
        <v>34</v>
      </c>
      <c r="P998" s="2">
        <v>5823.39</v>
      </c>
      <c r="Q998" t="s">
        <v>58</v>
      </c>
      <c r="R998" s="1">
        <v>45109</v>
      </c>
      <c r="S998" s="1"/>
    </row>
    <row r="999" spans="1:19" x14ac:dyDescent="0.3">
      <c r="A999">
        <v>17260</v>
      </c>
      <c r="B999" t="s">
        <v>17</v>
      </c>
      <c r="C999" t="s">
        <v>17</v>
      </c>
      <c r="D999">
        <v>90000</v>
      </c>
      <c r="E999" t="str">
        <f>IF(Sales_Data[[#This Row],[Income]]&lt;=20000,"Low Income",IF(Sales_Data[[#This Row],[Income]]&lt;=40000,"Lower Middle",IF(Sales_Data[[#This Row],[Income]]&lt;=60000,"Middle Income",IF(Sales_Data[[#This Row],[Income]]&lt;=80000,"Upper Middle","High Income"))))</f>
        <v>High Income</v>
      </c>
      <c r="F999">
        <v>5</v>
      </c>
      <c r="G999" t="s">
        <v>27</v>
      </c>
      <c r="H999" t="s">
        <v>31</v>
      </c>
      <c r="I999" t="s">
        <v>21</v>
      </c>
      <c r="J999">
        <v>3</v>
      </c>
      <c r="K999" t="s">
        <v>22</v>
      </c>
      <c r="L999" t="s">
        <v>63</v>
      </c>
      <c r="M999">
        <v>41</v>
      </c>
      <c r="N999" t="s">
        <v>38</v>
      </c>
      <c r="O999" t="s">
        <v>47</v>
      </c>
      <c r="P999" s="2">
        <v>1228.43</v>
      </c>
      <c r="Q999" t="s">
        <v>59</v>
      </c>
      <c r="R999" s="1">
        <v>45021</v>
      </c>
      <c r="S999" s="1"/>
    </row>
    <row r="1000" spans="1:19" x14ac:dyDescent="0.3">
      <c r="A1000">
        <v>29243</v>
      </c>
      <c r="B1000" t="s">
        <v>35</v>
      </c>
      <c r="C1000" t="s">
        <v>17</v>
      </c>
      <c r="D1000">
        <v>110000</v>
      </c>
      <c r="E1000" t="str">
        <f>IF(Sales_Data[[#This Row],[Income]]&lt;=20000,"Low Income",IF(Sales_Data[[#This Row],[Income]]&lt;=40000,"Lower Middle",IF(Sales_Data[[#This Row],[Income]]&lt;=60000,"Middle Income",IF(Sales_Data[[#This Row],[Income]]&lt;=80000,"Upper Middle","High Income"))))</f>
        <v>High Income</v>
      </c>
      <c r="F1000">
        <v>1</v>
      </c>
      <c r="G1000" t="s">
        <v>19</v>
      </c>
      <c r="H1000" t="s">
        <v>46</v>
      </c>
      <c r="I1000" t="s">
        <v>21</v>
      </c>
      <c r="J1000">
        <v>1</v>
      </c>
      <c r="K1000" t="s">
        <v>36</v>
      </c>
      <c r="L1000" t="s">
        <v>63</v>
      </c>
      <c r="M1000">
        <v>43</v>
      </c>
      <c r="N1000" t="s">
        <v>38</v>
      </c>
      <c r="O1000" t="s">
        <v>62</v>
      </c>
      <c r="P1000" s="2">
        <v>4940.7700000000004</v>
      </c>
      <c r="Q1000" t="s">
        <v>26</v>
      </c>
      <c r="R1000" s="1">
        <v>45284</v>
      </c>
      <c r="S1000" s="1"/>
    </row>
    <row r="1001" spans="1:19" x14ac:dyDescent="0.3">
      <c r="A1001">
        <v>29048</v>
      </c>
      <c r="B1001" t="s">
        <v>35</v>
      </c>
      <c r="C1001" t="s">
        <v>17</v>
      </c>
      <c r="D1001">
        <v>110000</v>
      </c>
      <c r="E1001" t="str">
        <f>IF(Sales_Data[[#This Row],[Income]]&lt;=20000,"Low Income",IF(Sales_Data[[#This Row],[Income]]&lt;=40000,"Lower Middle",IF(Sales_Data[[#This Row],[Income]]&lt;=60000,"Middle Income",IF(Sales_Data[[#This Row],[Income]]&lt;=80000,"Upper Middle","High Income"))))</f>
        <v>High Income</v>
      </c>
      <c r="F1001">
        <v>2</v>
      </c>
      <c r="G1001" t="s">
        <v>19</v>
      </c>
      <c r="H1001" t="s">
        <v>46</v>
      </c>
      <c r="I1001" t="s">
        <v>32</v>
      </c>
      <c r="J1001">
        <v>3</v>
      </c>
      <c r="K1001" t="s">
        <v>22</v>
      </c>
      <c r="L1001" t="s">
        <v>63</v>
      </c>
      <c r="M1001">
        <v>37</v>
      </c>
      <c r="N1001" t="s">
        <v>24</v>
      </c>
      <c r="O1001" t="s">
        <v>55</v>
      </c>
      <c r="P1001" s="2">
        <v>345.96</v>
      </c>
      <c r="Q1001" t="s">
        <v>26</v>
      </c>
      <c r="R1001" s="1">
        <v>45280</v>
      </c>
      <c r="S1001" s="1"/>
    </row>
    <row r="1002" spans="1:19" x14ac:dyDescent="0.3">
      <c r="A1002">
        <v>16009</v>
      </c>
      <c r="B1002" t="s">
        <v>35</v>
      </c>
      <c r="C1002" t="s">
        <v>17</v>
      </c>
      <c r="D1002">
        <v>170000</v>
      </c>
      <c r="E1002" t="str">
        <f>IF(Sales_Data[[#This Row],[Income]]&lt;=20000,"Low Income",IF(Sales_Data[[#This Row],[Income]]&lt;=40000,"Lower Middle",IF(Sales_Data[[#This Row],[Income]]&lt;=60000,"Middle Income",IF(Sales_Data[[#This Row],[Income]]&lt;=80000,"Upper Middle","High Income"))))</f>
        <v>High Income</v>
      </c>
      <c r="F1002">
        <v>1</v>
      </c>
      <c r="G1002" t="s">
        <v>61</v>
      </c>
      <c r="H1002" t="s">
        <v>46</v>
      </c>
      <c r="I1002" t="s">
        <v>32</v>
      </c>
      <c r="J1002">
        <v>4</v>
      </c>
      <c r="K1002" t="s">
        <v>22</v>
      </c>
      <c r="L1002" t="s">
        <v>63</v>
      </c>
      <c r="M1002">
        <v>66</v>
      </c>
      <c r="N1002" t="s">
        <v>24</v>
      </c>
      <c r="O1002" t="s">
        <v>29</v>
      </c>
      <c r="P1002" s="2">
        <v>3230.27</v>
      </c>
      <c r="Q1002" t="s">
        <v>48</v>
      </c>
      <c r="R1002" s="1">
        <v>45164</v>
      </c>
      <c r="S1002" s="1"/>
    </row>
    <row r="1003" spans="1:19" x14ac:dyDescent="0.3">
      <c r="A1003">
        <v>12056</v>
      </c>
      <c r="B1003" t="s">
        <v>17</v>
      </c>
      <c r="C1003" t="s">
        <v>17</v>
      </c>
      <c r="D1003">
        <v>120000</v>
      </c>
      <c r="E1003" t="str">
        <f>IF(Sales_Data[[#This Row],[Income]]&lt;=20000,"Low Income",IF(Sales_Data[[#This Row],[Income]]&lt;=40000,"Lower Middle",IF(Sales_Data[[#This Row],[Income]]&lt;=60000,"Middle Income",IF(Sales_Data[[#This Row],[Income]]&lt;=80000,"Upper Middle","High Income"))))</f>
        <v>High Income</v>
      </c>
      <c r="F1003">
        <v>2</v>
      </c>
      <c r="G1003" t="s">
        <v>61</v>
      </c>
      <c r="H1003" t="s">
        <v>46</v>
      </c>
      <c r="I1003" t="s">
        <v>21</v>
      </c>
      <c r="J1003">
        <v>3</v>
      </c>
      <c r="K1003" t="s">
        <v>36</v>
      </c>
      <c r="L1003" t="s">
        <v>63</v>
      </c>
      <c r="M1003">
        <v>64</v>
      </c>
      <c r="N1003" t="s">
        <v>38</v>
      </c>
      <c r="O1003" t="s">
        <v>39</v>
      </c>
      <c r="P1003" s="2">
        <v>7495.59</v>
      </c>
      <c r="Q1003" t="s">
        <v>44</v>
      </c>
      <c r="R1003" s="1">
        <v>44934</v>
      </c>
      <c r="S1003" s="1"/>
    </row>
    <row r="1004" spans="1:19" x14ac:dyDescent="0.3">
      <c r="A1004">
        <v>13176</v>
      </c>
      <c r="B1004" t="s">
        <v>35</v>
      </c>
      <c r="C1004" t="s">
        <v>17</v>
      </c>
      <c r="D1004">
        <v>130000</v>
      </c>
      <c r="E1004" t="str">
        <f>IF(Sales_Data[[#This Row],[Income]]&lt;=20000,"Low Income",IF(Sales_Data[[#This Row],[Income]]&lt;=40000,"Lower Middle",IF(Sales_Data[[#This Row],[Income]]&lt;=60000,"Middle Income",IF(Sales_Data[[#This Row],[Income]]&lt;=80000,"Upper Middle","High Income"))))</f>
        <v>High Income</v>
      </c>
      <c r="F1004">
        <v>0</v>
      </c>
      <c r="G1004" t="s">
        <v>61</v>
      </c>
      <c r="H1004" t="s">
        <v>46</v>
      </c>
      <c r="I1004" t="s">
        <v>32</v>
      </c>
      <c r="J1004">
        <v>2</v>
      </c>
      <c r="K1004" t="s">
        <v>22</v>
      </c>
      <c r="L1004" t="s">
        <v>63</v>
      </c>
      <c r="M1004">
        <v>38</v>
      </c>
      <c r="N1004" t="s">
        <v>38</v>
      </c>
      <c r="O1004" t="s">
        <v>62</v>
      </c>
      <c r="P1004" s="2">
        <v>8777.75</v>
      </c>
      <c r="Q1004" t="s">
        <v>30</v>
      </c>
      <c r="R1004" s="1">
        <v>44995</v>
      </c>
      <c r="S1004" s="1"/>
    </row>
    <row r="1005" spans="1:19" x14ac:dyDescent="0.3">
      <c r="A1005">
        <v>12205</v>
      </c>
      <c r="B1005" t="s">
        <v>35</v>
      </c>
      <c r="C1005" t="s">
        <v>18</v>
      </c>
      <c r="D1005">
        <v>130000</v>
      </c>
      <c r="E1005" t="str">
        <f>IF(Sales_Data[[#This Row],[Income]]&lt;=20000,"Low Income",IF(Sales_Data[[#This Row],[Income]]&lt;=40000,"Lower Middle",IF(Sales_Data[[#This Row],[Income]]&lt;=60000,"Middle Income",IF(Sales_Data[[#This Row],[Income]]&lt;=80000,"Upper Middle","High Income"))))</f>
        <v>High Income</v>
      </c>
      <c r="F1005">
        <v>2</v>
      </c>
      <c r="G1005" t="s">
        <v>19</v>
      </c>
      <c r="H1005" t="s">
        <v>46</v>
      </c>
      <c r="I1005" t="s">
        <v>32</v>
      </c>
      <c r="J1005">
        <v>4</v>
      </c>
      <c r="K1005" t="s">
        <v>22</v>
      </c>
      <c r="L1005" t="s">
        <v>63</v>
      </c>
      <c r="M1005">
        <v>67</v>
      </c>
      <c r="N1005" t="s">
        <v>24</v>
      </c>
      <c r="O1005" t="s">
        <v>34</v>
      </c>
      <c r="P1005" s="2">
        <v>3129.94</v>
      </c>
      <c r="Q1005" t="s">
        <v>60</v>
      </c>
      <c r="R1005" s="1">
        <v>45240</v>
      </c>
      <c r="S1005" s="1"/>
    </row>
    <row r="1006" spans="1:19" x14ac:dyDescent="0.3">
      <c r="A1006">
        <v>26065</v>
      </c>
      <c r="B1006" t="s">
        <v>35</v>
      </c>
      <c r="C1006" t="s">
        <v>18</v>
      </c>
      <c r="D1006">
        <v>110000</v>
      </c>
      <c r="E1006" t="str">
        <f>IF(Sales_Data[[#This Row],[Income]]&lt;=20000,"Low Income",IF(Sales_Data[[#This Row],[Income]]&lt;=40000,"Lower Middle",IF(Sales_Data[[#This Row],[Income]]&lt;=60000,"Middle Income",IF(Sales_Data[[#This Row],[Income]]&lt;=80000,"Upper Middle","High Income"))))</f>
        <v>High Income</v>
      </c>
      <c r="F1006">
        <v>3</v>
      </c>
      <c r="G1006" t="s">
        <v>19</v>
      </c>
      <c r="H1006" t="s">
        <v>46</v>
      </c>
      <c r="I1006" t="s">
        <v>32</v>
      </c>
      <c r="J1006">
        <v>4</v>
      </c>
      <c r="K1006" t="s">
        <v>43</v>
      </c>
      <c r="L1006" t="s">
        <v>63</v>
      </c>
      <c r="M1006">
        <v>42</v>
      </c>
      <c r="N1006" t="s">
        <v>24</v>
      </c>
      <c r="O1006" t="s">
        <v>29</v>
      </c>
      <c r="P1006" s="2">
        <v>5182.72</v>
      </c>
      <c r="Q1006" t="s">
        <v>48</v>
      </c>
      <c r="R1006" s="1">
        <v>45154</v>
      </c>
      <c r="S1006" s="1"/>
    </row>
    <row r="1007" spans="1:19" x14ac:dyDescent="0.3">
      <c r="A1007">
        <v>24416</v>
      </c>
      <c r="B1007" t="s">
        <v>17</v>
      </c>
      <c r="C1007" t="s">
        <v>17</v>
      </c>
      <c r="D1007">
        <v>90000</v>
      </c>
      <c r="E1007" t="str">
        <f>IF(Sales_Data[[#This Row],[Income]]&lt;=20000,"Low Income",IF(Sales_Data[[#This Row],[Income]]&lt;=40000,"Lower Middle",IF(Sales_Data[[#This Row],[Income]]&lt;=60000,"Middle Income",IF(Sales_Data[[#This Row],[Income]]&lt;=80000,"Upper Middle","High Income"))))</f>
        <v>High Income</v>
      </c>
      <c r="F1007">
        <v>4</v>
      </c>
      <c r="G1007" t="s">
        <v>45</v>
      </c>
      <c r="H1007" t="s">
        <v>31</v>
      </c>
      <c r="I1007" t="s">
        <v>21</v>
      </c>
      <c r="J1007">
        <v>2</v>
      </c>
      <c r="K1007" t="s">
        <v>43</v>
      </c>
      <c r="L1007" t="s">
        <v>63</v>
      </c>
      <c r="M1007">
        <v>45</v>
      </c>
      <c r="N1007" t="s">
        <v>24</v>
      </c>
      <c r="O1007" t="s">
        <v>55</v>
      </c>
      <c r="P1007" s="2">
        <v>826.17</v>
      </c>
      <c r="Q1007" t="s">
        <v>51</v>
      </c>
      <c r="R1007" s="1">
        <v>45088</v>
      </c>
      <c r="S1007" s="1"/>
    </row>
    <row r="1008" spans="1:19" x14ac:dyDescent="0.3">
      <c r="A1008">
        <v>13415</v>
      </c>
      <c r="B1008" t="s">
        <v>35</v>
      </c>
      <c r="C1008" t="s">
        <v>17</v>
      </c>
      <c r="D1008">
        <v>100000</v>
      </c>
      <c r="E1008" t="str">
        <f>IF(Sales_Data[[#This Row],[Income]]&lt;=20000,"Low Income",IF(Sales_Data[[#This Row],[Income]]&lt;=40000,"Lower Middle",IF(Sales_Data[[#This Row],[Income]]&lt;=60000,"Middle Income",IF(Sales_Data[[#This Row],[Income]]&lt;=80000,"Upper Middle","High Income"))))</f>
        <v>High Income</v>
      </c>
      <c r="F1008">
        <v>1</v>
      </c>
      <c r="G1008" t="s">
        <v>61</v>
      </c>
      <c r="H1008" t="s">
        <v>46</v>
      </c>
      <c r="I1008" t="s">
        <v>21</v>
      </c>
      <c r="J1008">
        <v>3</v>
      </c>
      <c r="K1008" t="s">
        <v>33</v>
      </c>
      <c r="L1008" t="s">
        <v>63</v>
      </c>
      <c r="M1008">
        <v>73</v>
      </c>
      <c r="N1008" t="s">
        <v>38</v>
      </c>
      <c r="O1008" t="s">
        <v>41</v>
      </c>
      <c r="P1008" s="2">
        <v>1547.8</v>
      </c>
      <c r="Q1008" t="s">
        <v>59</v>
      </c>
      <c r="R1008" s="1">
        <v>45034</v>
      </c>
      <c r="S1008" s="1"/>
    </row>
    <row r="1009" spans="1:19" x14ac:dyDescent="0.3">
      <c r="A1009">
        <v>14432</v>
      </c>
      <c r="B1009" t="s">
        <v>35</v>
      </c>
      <c r="C1009" t="s">
        <v>17</v>
      </c>
      <c r="D1009">
        <v>90000</v>
      </c>
      <c r="E1009" t="str">
        <f>IF(Sales_Data[[#This Row],[Income]]&lt;=20000,"Low Income",IF(Sales_Data[[#This Row],[Income]]&lt;=40000,"Lower Middle",IF(Sales_Data[[#This Row],[Income]]&lt;=60000,"Middle Income",IF(Sales_Data[[#This Row],[Income]]&lt;=80000,"Upper Middle","High Income"))))</f>
        <v>High Income</v>
      </c>
      <c r="F1009">
        <v>4</v>
      </c>
      <c r="G1009" t="s">
        <v>61</v>
      </c>
      <c r="H1009" t="s">
        <v>46</v>
      </c>
      <c r="I1009" t="s">
        <v>21</v>
      </c>
      <c r="J1009">
        <v>1</v>
      </c>
      <c r="K1009" t="s">
        <v>36</v>
      </c>
      <c r="L1009" t="s">
        <v>63</v>
      </c>
      <c r="M1009">
        <v>73</v>
      </c>
      <c r="N1009" t="s">
        <v>38</v>
      </c>
      <c r="O1009" t="s">
        <v>39</v>
      </c>
      <c r="P1009" s="2">
        <v>1857.49</v>
      </c>
      <c r="Q1009" t="s">
        <v>59</v>
      </c>
      <c r="R1009" s="1">
        <v>45034</v>
      </c>
      <c r="S1009" s="1"/>
    </row>
    <row r="1010" spans="1:19" x14ac:dyDescent="0.3">
      <c r="A1010">
        <v>22050</v>
      </c>
      <c r="B1010" t="s">
        <v>35</v>
      </c>
      <c r="C1010" t="s">
        <v>17</v>
      </c>
      <c r="D1010">
        <v>90000</v>
      </c>
      <c r="E1010" t="str">
        <f>IF(Sales_Data[[#This Row],[Income]]&lt;=20000,"Low Income",IF(Sales_Data[[#This Row],[Income]]&lt;=40000,"Lower Middle",IF(Sales_Data[[#This Row],[Income]]&lt;=60000,"Middle Income",IF(Sales_Data[[#This Row],[Income]]&lt;=80000,"Upper Middle","High Income"))))</f>
        <v>High Income</v>
      </c>
      <c r="F1010">
        <v>4</v>
      </c>
      <c r="G1010" t="s">
        <v>19</v>
      </c>
      <c r="H1010" t="s">
        <v>46</v>
      </c>
      <c r="I1010" t="s">
        <v>21</v>
      </c>
      <c r="J1010">
        <v>1</v>
      </c>
      <c r="K1010" t="s">
        <v>43</v>
      </c>
      <c r="L1010" t="s">
        <v>63</v>
      </c>
      <c r="M1010">
        <v>38</v>
      </c>
      <c r="N1010" t="s">
        <v>38</v>
      </c>
      <c r="O1010" t="s">
        <v>41</v>
      </c>
      <c r="P1010" s="2">
        <v>8225.41</v>
      </c>
      <c r="Q1010" t="s">
        <v>57</v>
      </c>
      <c r="R1010" s="1">
        <v>45222</v>
      </c>
      <c r="S1010" s="1"/>
    </row>
    <row r="1011" spans="1:19" x14ac:dyDescent="0.3">
      <c r="A1011">
        <v>22719</v>
      </c>
      <c r="B1011" t="s">
        <v>35</v>
      </c>
      <c r="C1011" t="s">
        <v>17</v>
      </c>
      <c r="D1011">
        <v>110000</v>
      </c>
      <c r="E1011" t="str">
        <f>IF(Sales_Data[[#This Row],[Income]]&lt;=20000,"Low Income",IF(Sales_Data[[#This Row],[Income]]&lt;=40000,"Lower Middle",IF(Sales_Data[[#This Row],[Income]]&lt;=60000,"Middle Income",IF(Sales_Data[[#This Row],[Income]]&lt;=80000,"Upper Middle","High Income"))))</f>
        <v>High Income</v>
      </c>
      <c r="F1011">
        <v>3</v>
      </c>
      <c r="G1011" t="s">
        <v>19</v>
      </c>
      <c r="H1011" t="s">
        <v>46</v>
      </c>
      <c r="I1011" t="s">
        <v>21</v>
      </c>
      <c r="J1011">
        <v>4</v>
      </c>
      <c r="K1011" t="s">
        <v>33</v>
      </c>
      <c r="L1011" t="s">
        <v>63</v>
      </c>
      <c r="M1011">
        <v>40</v>
      </c>
      <c r="N1011" t="s">
        <v>24</v>
      </c>
      <c r="O1011" t="s">
        <v>55</v>
      </c>
      <c r="P1011" s="2">
        <v>505.03</v>
      </c>
      <c r="Q1011" t="s">
        <v>51</v>
      </c>
      <c r="R1011" s="1">
        <v>45095</v>
      </c>
      <c r="S1011" s="1"/>
    </row>
    <row r="1012" spans="1:19" x14ac:dyDescent="0.3">
      <c r="A1012">
        <v>11090</v>
      </c>
      <c r="B1012" t="s">
        <v>35</v>
      </c>
      <c r="C1012" t="s">
        <v>17</v>
      </c>
      <c r="D1012">
        <v>90000</v>
      </c>
      <c r="E1012" t="str">
        <f>IF(Sales_Data[[#This Row],[Income]]&lt;=20000,"Low Income",IF(Sales_Data[[#This Row],[Income]]&lt;=40000,"Lower Middle",IF(Sales_Data[[#This Row],[Income]]&lt;=60000,"Middle Income",IF(Sales_Data[[#This Row],[Income]]&lt;=80000,"Upper Middle","High Income"))))</f>
        <v>High Income</v>
      </c>
      <c r="F1012">
        <v>2</v>
      </c>
      <c r="G1012" t="s">
        <v>27</v>
      </c>
      <c r="H1012" t="s">
        <v>31</v>
      </c>
      <c r="I1012" t="s">
        <v>21</v>
      </c>
      <c r="J1012">
        <v>1</v>
      </c>
      <c r="K1012" t="s">
        <v>33</v>
      </c>
      <c r="L1012" t="s">
        <v>63</v>
      </c>
      <c r="M1012">
        <v>48</v>
      </c>
      <c r="N1012" t="s">
        <v>24</v>
      </c>
      <c r="O1012" t="s">
        <v>55</v>
      </c>
      <c r="P1012" s="2">
        <v>9989.7900000000009</v>
      </c>
      <c r="Q1012" t="s">
        <v>56</v>
      </c>
      <c r="R1012" s="1">
        <v>45190</v>
      </c>
      <c r="S1012" s="1"/>
    </row>
    <row r="1013" spans="1:19" x14ac:dyDescent="0.3">
      <c r="A1013">
        <v>13343</v>
      </c>
      <c r="B1013" t="s">
        <v>17</v>
      </c>
      <c r="C1013" t="s">
        <v>18</v>
      </c>
      <c r="D1013">
        <v>90000</v>
      </c>
      <c r="E1013" t="str">
        <f>IF(Sales_Data[[#This Row],[Income]]&lt;=20000,"Low Income",IF(Sales_Data[[#This Row],[Income]]&lt;=40000,"Lower Middle",IF(Sales_Data[[#This Row],[Income]]&lt;=60000,"Middle Income",IF(Sales_Data[[#This Row],[Income]]&lt;=80000,"Upper Middle","High Income"))))</f>
        <v>High Income</v>
      </c>
      <c r="F1013">
        <v>5</v>
      </c>
      <c r="G1013" t="s">
        <v>19</v>
      </c>
      <c r="H1013" t="s">
        <v>46</v>
      </c>
      <c r="I1013" t="s">
        <v>21</v>
      </c>
      <c r="J1013">
        <v>2</v>
      </c>
      <c r="K1013" t="s">
        <v>43</v>
      </c>
      <c r="L1013" t="s">
        <v>63</v>
      </c>
      <c r="M1013">
        <v>63</v>
      </c>
      <c r="N1013" t="s">
        <v>24</v>
      </c>
      <c r="O1013" t="s">
        <v>55</v>
      </c>
      <c r="P1013" s="2">
        <v>6252.87</v>
      </c>
      <c r="Q1013" t="s">
        <v>48</v>
      </c>
      <c r="R1013" s="1">
        <v>45148</v>
      </c>
      <c r="S1013" s="1"/>
    </row>
    <row r="1014" spans="1:19" x14ac:dyDescent="0.3">
      <c r="A1014">
        <v>11303</v>
      </c>
      <c r="B1014" t="s">
        <v>35</v>
      </c>
      <c r="C1014" t="s">
        <v>18</v>
      </c>
      <c r="D1014">
        <v>90000</v>
      </c>
      <c r="E1014" t="str">
        <f>IF(Sales_Data[[#This Row],[Income]]&lt;=20000,"Low Income",IF(Sales_Data[[#This Row],[Income]]&lt;=40000,"Lower Middle",IF(Sales_Data[[#This Row],[Income]]&lt;=60000,"Middle Income",IF(Sales_Data[[#This Row],[Income]]&lt;=80000,"Upper Middle","High Income"))))</f>
        <v>High Income</v>
      </c>
      <c r="F1014">
        <v>4</v>
      </c>
      <c r="G1014" t="s">
        <v>45</v>
      </c>
      <c r="H1014" t="s">
        <v>31</v>
      </c>
      <c r="I1014" t="s">
        <v>32</v>
      </c>
      <c r="J1014">
        <v>3</v>
      </c>
      <c r="K1014" t="s">
        <v>43</v>
      </c>
      <c r="L1014" t="s">
        <v>63</v>
      </c>
      <c r="M1014">
        <v>45</v>
      </c>
      <c r="N1014" t="s">
        <v>38</v>
      </c>
      <c r="O1014" t="s">
        <v>62</v>
      </c>
      <c r="P1014" s="2">
        <v>9997.23</v>
      </c>
      <c r="Q1014" t="s">
        <v>56</v>
      </c>
      <c r="R1014" s="1">
        <v>45198</v>
      </c>
      <c r="S1014" s="1"/>
    </row>
    <row r="1015" spans="1:19" x14ac:dyDescent="0.3">
      <c r="A1015">
        <v>21940</v>
      </c>
      <c r="B1015" t="s">
        <v>17</v>
      </c>
      <c r="C1015" t="s">
        <v>17</v>
      </c>
      <c r="D1015">
        <v>90000</v>
      </c>
      <c r="E1015" t="str">
        <f>IF(Sales_Data[[#This Row],[Income]]&lt;=20000,"Low Income",IF(Sales_Data[[#This Row],[Income]]&lt;=40000,"Lower Middle",IF(Sales_Data[[#This Row],[Income]]&lt;=60000,"Middle Income",IF(Sales_Data[[#This Row],[Income]]&lt;=80000,"Upper Middle","High Income"))))</f>
        <v>High Income</v>
      </c>
      <c r="F1015">
        <v>5</v>
      </c>
      <c r="G1015" t="s">
        <v>61</v>
      </c>
      <c r="H1015" t="s">
        <v>31</v>
      </c>
      <c r="I1015" t="s">
        <v>21</v>
      </c>
      <c r="J1015">
        <v>0</v>
      </c>
      <c r="K1015" t="s">
        <v>22</v>
      </c>
      <c r="L1015" t="s">
        <v>63</v>
      </c>
      <c r="M1015">
        <v>47</v>
      </c>
      <c r="N1015" t="s">
        <v>38</v>
      </c>
      <c r="O1015" t="s">
        <v>41</v>
      </c>
      <c r="P1015" s="2">
        <v>5801.92</v>
      </c>
      <c r="Q1015" t="s">
        <v>30</v>
      </c>
      <c r="R1015" s="1">
        <v>44992</v>
      </c>
      <c r="S1015" s="1"/>
    </row>
    <row r="1016" spans="1:19" x14ac:dyDescent="0.3">
      <c r="A1016">
        <v>23491</v>
      </c>
      <c r="B1016" t="s">
        <v>35</v>
      </c>
      <c r="C1016" t="s">
        <v>17</v>
      </c>
      <c r="D1016">
        <v>100000</v>
      </c>
      <c r="E1016" t="str">
        <f>IF(Sales_Data[[#This Row],[Income]]&lt;=20000,"Low Income",IF(Sales_Data[[#This Row],[Income]]&lt;=40000,"Lower Middle",IF(Sales_Data[[#This Row],[Income]]&lt;=60000,"Middle Income",IF(Sales_Data[[#This Row],[Income]]&lt;=80000,"Upper Middle","High Income"))))</f>
        <v>High Income</v>
      </c>
      <c r="F1016">
        <v>0</v>
      </c>
      <c r="G1016" t="s">
        <v>27</v>
      </c>
      <c r="H1016" t="s">
        <v>31</v>
      </c>
      <c r="I1016" t="s">
        <v>32</v>
      </c>
      <c r="J1016">
        <v>4</v>
      </c>
      <c r="K1016" t="s">
        <v>43</v>
      </c>
      <c r="L1016" t="s">
        <v>63</v>
      </c>
      <c r="M1016">
        <v>45</v>
      </c>
      <c r="N1016" t="s">
        <v>38</v>
      </c>
      <c r="O1016" t="s">
        <v>41</v>
      </c>
      <c r="P1016" s="2">
        <v>4833.96</v>
      </c>
      <c r="Q1016" t="s">
        <v>51</v>
      </c>
      <c r="R1016" s="1">
        <v>45095</v>
      </c>
      <c r="S1016" s="1"/>
    </row>
    <row r="1017" spans="1:19" x14ac:dyDescent="0.3">
      <c r="A1017">
        <v>16651</v>
      </c>
      <c r="B1017" t="s">
        <v>17</v>
      </c>
      <c r="C1017" t="s">
        <v>18</v>
      </c>
      <c r="D1017">
        <v>120000</v>
      </c>
      <c r="E1017" t="str">
        <f>IF(Sales_Data[[#This Row],[Income]]&lt;=20000,"Low Income",IF(Sales_Data[[#This Row],[Income]]&lt;=40000,"Lower Middle",IF(Sales_Data[[#This Row],[Income]]&lt;=60000,"Middle Income",IF(Sales_Data[[#This Row],[Income]]&lt;=80000,"Upper Middle","High Income"))))</f>
        <v>High Income</v>
      </c>
      <c r="F1017">
        <v>2</v>
      </c>
      <c r="G1017" t="s">
        <v>19</v>
      </c>
      <c r="H1017" t="s">
        <v>46</v>
      </c>
      <c r="I1017" t="s">
        <v>21</v>
      </c>
      <c r="J1017">
        <v>3</v>
      </c>
      <c r="K1017" t="s">
        <v>36</v>
      </c>
      <c r="L1017" t="s">
        <v>63</v>
      </c>
      <c r="M1017">
        <v>62</v>
      </c>
      <c r="N1017" t="s">
        <v>24</v>
      </c>
      <c r="O1017" t="s">
        <v>34</v>
      </c>
      <c r="P1017" s="2">
        <v>9993.81</v>
      </c>
      <c r="Q1017" t="s">
        <v>57</v>
      </c>
      <c r="R1017" s="1">
        <v>45218</v>
      </c>
      <c r="S1017" s="1"/>
    </row>
    <row r="1018" spans="1:19" x14ac:dyDescent="0.3">
      <c r="A1018">
        <v>16007</v>
      </c>
      <c r="B1018" t="s">
        <v>17</v>
      </c>
      <c r="C1018" t="s">
        <v>18</v>
      </c>
      <c r="D1018">
        <v>90000</v>
      </c>
      <c r="E1018" t="str">
        <f>IF(Sales_Data[[#This Row],[Income]]&lt;=20000,"Low Income",IF(Sales_Data[[#This Row],[Income]]&lt;=40000,"Lower Middle",IF(Sales_Data[[#This Row],[Income]]&lt;=60000,"Middle Income",IF(Sales_Data[[#This Row],[Income]]&lt;=80000,"Upper Middle","High Income"))))</f>
        <v>High Income</v>
      </c>
      <c r="F1018">
        <v>5</v>
      </c>
      <c r="G1018" t="s">
        <v>19</v>
      </c>
      <c r="H1018" t="s">
        <v>46</v>
      </c>
      <c r="I1018" t="s">
        <v>21</v>
      </c>
      <c r="J1018">
        <v>2</v>
      </c>
      <c r="K1018" t="s">
        <v>43</v>
      </c>
      <c r="L1018" t="s">
        <v>63</v>
      </c>
      <c r="M1018">
        <v>66</v>
      </c>
      <c r="N1018" t="s">
        <v>38</v>
      </c>
      <c r="O1018" t="s">
        <v>39</v>
      </c>
      <c r="P1018" s="2">
        <v>6231.05</v>
      </c>
      <c r="Q1018" t="s">
        <v>44</v>
      </c>
      <c r="R1018" s="1">
        <v>44956</v>
      </c>
      <c r="S1018" s="1"/>
    </row>
    <row r="1019" spans="1:19" x14ac:dyDescent="0.3">
      <c r="A1019">
        <v>15982</v>
      </c>
      <c r="B1019" t="s">
        <v>17</v>
      </c>
      <c r="C1019" t="s">
        <v>17</v>
      </c>
      <c r="D1019">
        <v>110000</v>
      </c>
      <c r="E1019" t="str">
        <f>IF(Sales_Data[[#This Row],[Income]]&lt;=20000,"Low Income",IF(Sales_Data[[#This Row],[Income]]&lt;=40000,"Lower Middle",IF(Sales_Data[[#This Row],[Income]]&lt;=60000,"Middle Income",IF(Sales_Data[[#This Row],[Income]]&lt;=80000,"Upper Middle","High Income"))))</f>
        <v>High Income</v>
      </c>
      <c r="F1019">
        <v>5</v>
      </c>
      <c r="G1019" t="s">
        <v>27</v>
      </c>
      <c r="H1019" t="s">
        <v>31</v>
      </c>
      <c r="I1019" t="s">
        <v>21</v>
      </c>
      <c r="J1019">
        <v>4</v>
      </c>
      <c r="K1019" t="s">
        <v>33</v>
      </c>
      <c r="L1019" t="s">
        <v>63</v>
      </c>
      <c r="M1019">
        <v>46</v>
      </c>
      <c r="N1019" t="s">
        <v>38</v>
      </c>
      <c r="O1019" t="s">
        <v>54</v>
      </c>
      <c r="P1019" s="2">
        <v>6074.91</v>
      </c>
      <c r="Q1019" t="s">
        <v>30</v>
      </c>
      <c r="R1019" s="1">
        <v>45015</v>
      </c>
      <c r="S1019" s="1"/>
    </row>
    <row r="1020" spans="1:19" x14ac:dyDescent="0.3">
      <c r="A1020">
        <v>11269</v>
      </c>
      <c r="B1020" t="s">
        <v>17</v>
      </c>
      <c r="C1020" t="s">
        <v>17</v>
      </c>
      <c r="D1020">
        <v>130000</v>
      </c>
      <c r="E1020" t="str">
        <f>IF(Sales_Data[[#This Row],[Income]]&lt;=20000,"Low Income",IF(Sales_Data[[#This Row],[Income]]&lt;=40000,"Lower Middle",IF(Sales_Data[[#This Row],[Income]]&lt;=60000,"Middle Income",IF(Sales_Data[[#This Row],[Income]]&lt;=80000,"Upper Middle","High Income"))))</f>
        <v>High Income</v>
      </c>
      <c r="F1020">
        <v>2</v>
      </c>
      <c r="G1020" t="s">
        <v>61</v>
      </c>
      <c r="H1020" t="s">
        <v>46</v>
      </c>
      <c r="I1020" t="s">
        <v>21</v>
      </c>
      <c r="J1020">
        <v>2</v>
      </c>
      <c r="K1020" t="s">
        <v>22</v>
      </c>
      <c r="L1020" t="s">
        <v>63</v>
      </c>
      <c r="M1020">
        <v>41</v>
      </c>
      <c r="N1020" t="s">
        <v>24</v>
      </c>
      <c r="O1020" t="s">
        <v>55</v>
      </c>
      <c r="P1020" s="2">
        <v>9245.9500000000007</v>
      </c>
      <c r="Q1020" t="s">
        <v>60</v>
      </c>
      <c r="R1020" s="1">
        <v>45238</v>
      </c>
      <c r="S1020" s="1"/>
    </row>
    <row r="1021" spans="1:19" x14ac:dyDescent="0.3">
      <c r="A1021">
        <v>22864</v>
      </c>
      <c r="B1021" t="s">
        <v>17</v>
      </c>
      <c r="C1021" t="s">
        <v>17</v>
      </c>
      <c r="D1021">
        <v>90000</v>
      </c>
      <c r="E1021" t="str">
        <f>IF(Sales_Data[[#This Row],[Income]]&lt;=20000,"Low Income",IF(Sales_Data[[#This Row],[Income]]&lt;=40000,"Lower Middle",IF(Sales_Data[[#This Row],[Income]]&lt;=60000,"Middle Income",IF(Sales_Data[[#This Row],[Income]]&lt;=80000,"Upper Middle","High Income"))))</f>
        <v>High Income</v>
      </c>
      <c r="F1021">
        <v>2</v>
      </c>
      <c r="G1021" t="s">
        <v>27</v>
      </c>
      <c r="H1021" t="s">
        <v>31</v>
      </c>
      <c r="I1021" t="s">
        <v>32</v>
      </c>
      <c r="J1021">
        <v>0</v>
      </c>
      <c r="K1021" t="s">
        <v>36</v>
      </c>
      <c r="L1021" t="s">
        <v>63</v>
      </c>
      <c r="M1021">
        <v>49</v>
      </c>
      <c r="N1021" t="s">
        <v>38</v>
      </c>
      <c r="O1021" t="s">
        <v>47</v>
      </c>
      <c r="P1021" s="2">
        <v>418.94</v>
      </c>
      <c r="Q1021" t="s">
        <v>56</v>
      </c>
      <c r="R1021" s="1">
        <v>45190</v>
      </c>
      <c r="S1021" s="1"/>
    </row>
    <row r="1022" spans="1:19" x14ac:dyDescent="0.3">
      <c r="A1022">
        <v>11292</v>
      </c>
      <c r="B1022" t="s">
        <v>35</v>
      </c>
      <c r="C1022" t="s">
        <v>17</v>
      </c>
      <c r="D1022">
        <v>150000</v>
      </c>
      <c r="E1022" t="str">
        <f>IF(Sales_Data[[#This Row],[Income]]&lt;=20000,"Low Income",IF(Sales_Data[[#This Row],[Income]]&lt;=40000,"Lower Middle",IF(Sales_Data[[#This Row],[Income]]&lt;=60000,"Middle Income",IF(Sales_Data[[#This Row],[Income]]&lt;=80000,"Upper Middle","High Income"))))</f>
        <v>High Income</v>
      </c>
      <c r="F1022">
        <v>1</v>
      </c>
      <c r="G1022" t="s">
        <v>27</v>
      </c>
      <c r="H1022" t="s">
        <v>31</v>
      </c>
      <c r="I1022" t="s">
        <v>32</v>
      </c>
      <c r="J1022">
        <v>3</v>
      </c>
      <c r="K1022" t="s">
        <v>22</v>
      </c>
      <c r="L1022" t="s">
        <v>63</v>
      </c>
      <c r="M1022">
        <v>44</v>
      </c>
      <c r="N1022" t="s">
        <v>38</v>
      </c>
      <c r="O1022" t="s">
        <v>62</v>
      </c>
      <c r="P1022" s="2">
        <v>6370.94</v>
      </c>
      <c r="Q1022" t="s">
        <v>59</v>
      </c>
      <c r="R1022" s="1">
        <v>45042</v>
      </c>
      <c r="S1022" s="1"/>
    </row>
    <row r="1023" spans="1:19" x14ac:dyDescent="0.3">
      <c r="A1023">
        <v>19664</v>
      </c>
      <c r="B1023" t="s">
        <v>35</v>
      </c>
      <c r="C1023" t="s">
        <v>17</v>
      </c>
      <c r="D1023">
        <v>100000</v>
      </c>
      <c r="E1023" t="str">
        <f>IF(Sales_Data[[#This Row],[Income]]&lt;=20000,"Low Income",IF(Sales_Data[[#This Row],[Income]]&lt;=40000,"Lower Middle",IF(Sales_Data[[#This Row],[Income]]&lt;=60000,"Middle Income",IF(Sales_Data[[#This Row],[Income]]&lt;=80000,"Upper Middle","High Income"))))</f>
        <v>High Income</v>
      </c>
      <c r="F1023">
        <v>3</v>
      </c>
      <c r="G1023" t="s">
        <v>19</v>
      </c>
      <c r="H1023" t="s">
        <v>46</v>
      </c>
      <c r="I1023" t="s">
        <v>32</v>
      </c>
      <c r="J1023">
        <v>3</v>
      </c>
      <c r="K1023" t="s">
        <v>43</v>
      </c>
      <c r="L1023" t="s">
        <v>63</v>
      </c>
      <c r="M1023">
        <v>38</v>
      </c>
      <c r="N1023" t="s">
        <v>38</v>
      </c>
      <c r="O1023" t="s">
        <v>41</v>
      </c>
      <c r="P1023" s="2">
        <v>5193.22</v>
      </c>
      <c r="Q1023" t="s">
        <v>40</v>
      </c>
      <c r="R1023" s="1">
        <v>45073</v>
      </c>
      <c r="S1023" s="1"/>
    </row>
    <row r="1024" spans="1:19" x14ac:dyDescent="0.3">
      <c r="A1024">
        <v>19280</v>
      </c>
      <c r="B1024" t="s">
        <v>17</v>
      </c>
      <c r="C1024" t="s">
        <v>17</v>
      </c>
      <c r="D1024">
        <v>120000</v>
      </c>
      <c r="E1024" t="str">
        <f>IF(Sales_Data[[#This Row],[Income]]&lt;=20000,"Low Income",IF(Sales_Data[[#This Row],[Income]]&lt;=40000,"Lower Middle",IF(Sales_Data[[#This Row],[Income]]&lt;=60000,"Middle Income",IF(Sales_Data[[#This Row],[Income]]&lt;=80000,"Upper Middle","High Income"))))</f>
        <v>High Income</v>
      </c>
      <c r="F1024">
        <v>2</v>
      </c>
      <c r="G1024" t="s">
        <v>27</v>
      </c>
      <c r="H1024" t="s">
        <v>42</v>
      </c>
      <c r="I1024" t="s">
        <v>21</v>
      </c>
      <c r="J1024">
        <v>1</v>
      </c>
      <c r="K1024" t="s">
        <v>22</v>
      </c>
      <c r="L1024" t="s">
        <v>23</v>
      </c>
      <c r="M1024">
        <v>40</v>
      </c>
      <c r="N1024" t="s">
        <v>24</v>
      </c>
      <c r="O1024" t="s">
        <v>34</v>
      </c>
      <c r="P1024" s="2">
        <v>4168.33</v>
      </c>
      <c r="Q1024" t="s">
        <v>30</v>
      </c>
      <c r="R1024" s="1">
        <v>45010</v>
      </c>
      <c r="S1024" s="1"/>
    </row>
    <row r="1025" spans="1:19" x14ac:dyDescent="0.3">
      <c r="A1025">
        <v>12697</v>
      </c>
      <c r="B1025" t="s">
        <v>35</v>
      </c>
      <c r="C1025" t="s">
        <v>18</v>
      </c>
      <c r="D1025">
        <v>90000</v>
      </c>
      <c r="E1025" t="str">
        <f>IF(Sales_Data[[#This Row],[Income]]&lt;=20000,"Low Income",IF(Sales_Data[[#This Row],[Income]]&lt;=40000,"Lower Middle",IF(Sales_Data[[#This Row],[Income]]&lt;=60000,"Middle Income",IF(Sales_Data[[#This Row],[Income]]&lt;=80000,"Upper Middle","High Income"))))</f>
        <v>High Income</v>
      </c>
      <c r="F1025">
        <v>0</v>
      </c>
      <c r="G1025" t="s">
        <v>19</v>
      </c>
      <c r="H1025" t="s">
        <v>31</v>
      </c>
      <c r="I1025" t="s">
        <v>32</v>
      </c>
      <c r="J1025">
        <v>4</v>
      </c>
      <c r="K1025" t="s">
        <v>53</v>
      </c>
      <c r="L1025" t="s">
        <v>37</v>
      </c>
      <c r="M1025">
        <v>36</v>
      </c>
      <c r="N1025" t="s">
        <v>24</v>
      </c>
      <c r="O1025" t="s">
        <v>49</v>
      </c>
      <c r="P1025" s="2">
        <v>7425.44</v>
      </c>
      <c r="Q1025" t="s">
        <v>26</v>
      </c>
      <c r="R1025" s="1">
        <v>45278</v>
      </c>
      <c r="S1025" s="1"/>
    </row>
    <row r="1026" spans="1:19" x14ac:dyDescent="0.3">
      <c r="A1026">
        <v>11434</v>
      </c>
      <c r="B1026" t="s">
        <v>17</v>
      </c>
      <c r="C1026" t="s">
        <v>17</v>
      </c>
      <c r="D1026">
        <v>170000</v>
      </c>
      <c r="E1026" t="str">
        <f>IF(Sales_Data[[#This Row],[Income]]&lt;=20000,"Low Income",IF(Sales_Data[[#This Row],[Income]]&lt;=40000,"Lower Middle",IF(Sales_Data[[#This Row],[Income]]&lt;=60000,"Middle Income",IF(Sales_Data[[#This Row],[Income]]&lt;=80000,"Upper Middle","High Income"))))</f>
        <v>High Income</v>
      </c>
      <c r="F1026">
        <v>5</v>
      </c>
      <c r="G1026" t="s">
        <v>27</v>
      </c>
      <c r="H1026" t="s">
        <v>31</v>
      </c>
      <c r="I1026" t="s">
        <v>21</v>
      </c>
      <c r="J1026">
        <v>0</v>
      </c>
      <c r="K1026" t="s">
        <v>22</v>
      </c>
      <c r="L1026" t="s">
        <v>23</v>
      </c>
      <c r="M1026">
        <v>55</v>
      </c>
      <c r="N1026" t="s">
        <v>38</v>
      </c>
      <c r="O1026" t="s">
        <v>54</v>
      </c>
      <c r="P1026" s="2">
        <v>691.63</v>
      </c>
      <c r="Q1026" t="s">
        <v>30</v>
      </c>
      <c r="R1026" s="1">
        <v>45005</v>
      </c>
      <c r="S1026" s="1"/>
    </row>
    <row r="1027" spans="1:19" x14ac:dyDescent="0.3">
      <c r="A1027">
        <v>18283</v>
      </c>
      <c r="B1027" t="s">
        <v>35</v>
      </c>
      <c r="C1027" t="s">
        <v>18</v>
      </c>
      <c r="D1027">
        <v>100000</v>
      </c>
      <c r="E1027" t="str">
        <f>IF(Sales_Data[[#This Row],[Income]]&lt;=20000,"Low Income",IF(Sales_Data[[#This Row],[Income]]&lt;=40000,"Lower Middle",IF(Sales_Data[[#This Row],[Income]]&lt;=60000,"Middle Income",IF(Sales_Data[[#This Row],[Income]]&lt;=80000,"Upper Middle","High Income"))))</f>
        <v>High Income</v>
      </c>
      <c r="F1027">
        <v>0</v>
      </c>
      <c r="G1027" t="s">
        <v>19</v>
      </c>
      <c r="H1027" t="s">
        <v>31</v>
      </c>
      <c r="I1027" t="s">
        <v>32</v>
      </c>
      <c r="J1027">
        <v>1</v>
      </c>
      <c r="K1027" t="s">
        <v>36</v>
      </c>
      <c r="L1027" t="s">
        <v>37</v>
      </c>
      <c r="M1027">
        <v>40</v>
      </c>
      <c r="N1027" t="s">
        <v>24</v>
      </c>
      <c r="O1027" t="s">
        <v>25</v>
      </c>
      <c r="P1027" s="2">
        <v>8938.2199999999993</v>
      </c>
      <c r="Q1027" t="s">
        <v>60</v>
      </c>
      <c r="R1027" s="1">
        <v>45260</v>
      </c>
      <c r="S1027" s="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5AEA0-FAF3-459F-B569-D3249083B146}">
  <sheetPr codeName="Sheet4"/>
  <dimension ref="A3:B7"/>
  <sheetViews>
    <sheetView workbookViewId="0">
      <selection activeCell="O15" sqref="O15"/>
    </sheetView>
  </sheetViews>
  <sheetFormatPr defaultRowHeight="14.4" x14ac:dyDescent="0.3"/>
  <cols>
    <col min="1" max="1" width="12.88671875" bestFit="1" customWidth="1"/>
    <col min="2" max="2" width="11.6640625" customWidth="1"/>
  </cols>
  <sheetData>
    <row r="3" spans="1:2" x14ac:dyDescent="0.3">
      <c r="A3" s="3" t="s">
        <v>64</v>
      </c>
      <c r="B3" t="s">
        <v>66</v>
      </c>
    </row>
    <row r="4" spans="1:2" x14ac:dyDescent="0.3">
      <c r="A4" s="4" t="s">
        <v>23</v>
      </c>
      <c r="B4" s="8">
        <v>1602403.55</v>
      </c>
    </row>
    <row r="5" spans="1:2" x14ac:dyDescent="0.3">
      <c r="A5" s="4" t="s">
        <v>63</v>
      </c>
      <c r="B5" s="8">
        <v>2603861.66</v>
      </c>
    </row>
    <row r="6" spans="1:2" x14ac:dyDescent="0.3">
      <c r="A6" s="4" t="s">
        <v>37</v>
      </c>
      <c r="B6" s="8">
        <v>1008502.71</v>
      </c>
    </row>
    <row r="7" spans="1:2" x14ac:dyDescent="0.3">
      <c r="A7" s="4" t="s">
        <v>65</v>
      </c>
      <c r="B7" s="8">
        <v>5214767.92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B02A9-836F-4AB0-BDE0-259842A2478D}">
  <sheetPr codeName="Sheet3"/>
  <dimension ref="A3:B16"/>
  <sheetViews>
    <sheetView workbookViewId="0">
      <selection activeCell="H6" sqref="H6"/>
    </sheetView>
  </sheetViews>
  <sheetFormatPr defaultRowHeight="14.4" x14ac:dyDescent="0.3"/>
  <cols>
    <col min="1" max="1" width="22.5546875" bestFit="1" customWidth="1"/>
    <col min="2" max="2" width="11.6640625" customWidth="1"/>
  </cols>
  <sheetData>
    <row r="3" spans="1:2" x14ac:dyDescent="0.3">
      <c r="A3" s="3" t="s">
        <v>64</v>
      </c>
      <c r="B3" t="s">
        <v>66</v>
      </c>
    </row>
    <row r="4" spans="1:2" x14ac:dyDescent="0.3">
      <c r="A4" s="4" t="s">
        <v>24</v>
      </c>
      <c r="B4" s="8"/>
    </row>
    <row r="5" spans="1:2" x14ac:dyDescent="0.3">
      <c r="A5" s="5" t="s">
        <v>29</v>
      </c>
      <c r="B5" s="8">
        <v>465952.29</v>
      </c>
    </row>
    <row r="6" spans="1:2" x14ac:dyDescent="0.3">
      <c r="A6" s="5" t="s">
        <v>34</v>
      </c>
      <c r="B6" s="8">
        <v>527310.43999999994</v>
      </c>
    </row>
    <row r="7" spans="1:2" x14ac:dyDescent="0.3">
      <c r="A7" s="5" t="s">
        <v>25</v>
      </c>
      <c r="B7" s="8">
        <v>611727.03</v>
      </c>
    </row>
    <row r="8" spans="1:2" x14ac:dyDescent="0.3">
      <c r="A8" s="5" t="s">
        <v>55</v>
      </c>
      <c r="B8" s="8">
        <v>535950.77</v>
      </c>
    </row>
    <row r="9" spans="1:2" x14ac:dyDescent="0.3">
      <c r="A9" s="5" t="s">
        <v>49</v>
      </c>
      <c r="B9" s="8">
        <v>497317.47</v>
      </c>
    </row>
    <row r="10" spans="1:2" x14ac:dyDescent="0.3">
      <c r="A10" s="4" t="s">
        <v>38</v>
      </c>
      <c r="B10" s="8"/>
    </row>
    <row r="11" spans="1:2" x14ac:dyDescent="0.3">
      <c r="A11" s="5" t="s">
        <v>39</v>
      </c>
      <c r="B11" s="8">
        <v>433808.16</v>
      </c>
    </row>
    <row r="12" spans="1:2" x14ac:dyDescent="0.3">
      <c r="A12" s="5" t="s">
        <v>62</v>
      </c>
      <c r="B12" s="8">
        <v>621178.92000000004</v>
      </c>
    </row>
    <row r="13" spans="1:2" x14ac:dyDescent="0.3">
      <c r="A13" s="5" t="s">
        <v>47</v>
      </c>
      <c r="B13" s="8">
        <v>503520.17</v>
      </c>
    </row>
    <row r="14" spans="1:2" x14ac:dyDescent="0.3">
      <c r="A14" s="5" t="s">
        <v>41</v>
      </c>
      <c r="B14" s="8">
        <v>550525.5</v>
      </c>
    </row>
    <row r="15" spans="1:2" x14ac:dyDescent="0.3">
      <c r="A15" s="5" t="s">
        <v>54</v>
      </c>
      <c r="B15" s="8">
        <v>467477.17</v>
      </c>
    </row>
    <row r="16" spans="1:2" x14ac:dyDescent="0.3">
      <c r="A16" s="4" t="s">
        <v>65</v>
      </c>
      <c r="B16" s="8">
        <v>5214767.92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912FA-EF91-4A7A-A073-CF9AFDE256DD}">
  <sheetPr codeName="Sheet1"/>
  <dimension ref="A3:B17"/>
  <sheetViews>
    <sheetView workbookViewId="0">
      <selection activeCell="O21" sqref="O21"/>
    </sheetView>
  </sheetViews>
  <sheetFormatPr defaultRowHeight="14.4" x14ac:dyDescent="0.3"/>
  <cols>
    <col min="1" max="1" width="12.5546875" customWidth="1"/>
    <col min="2" max="2" width="11.6640625" customWidth="1"/>
  </cols>
  <sheetData>
    <row r="3" spans="1:2" x14ac:dyDescent="0.3">
      <c r="A3" s="3" t="s">
        <v>64</v>
      </c>
      <c r="B3" t="s">
        <v>66</v>
      </c>
    </row>
    <row r="4" spans="1:2" x14ac:dyDescent="0.3">
      <c r="A4" s="4" t="s">
        <v>67</v>
      </c>
      <c r="B4" s="8"/>
    </row>
    <row r="5" spans="1:2" x14ac:dyDescent="0.3">
      <c r="A5" s="5" t="s">
        <v>76</v>
      </c>
      <c r="B5" s="8">
        <v>443570.57</v>
      </c>
    </row>
    <row r="6" spans="1:2" x14ac:dyDescent="0.3">
      <c r="A6" s="5" t="s">
        <v>77</v>
      </c>
      <c r="B6" s="8">
        <v>400931.36</v>
      </c>
    </row>
    <row r="7" spans="1:2" x14ac:dyDescent="0.3">
      <c r="A7" s="5" t="s">
        <v>78</v>
      </c>
      <c r="B7" s="8">
        <v>451788.78</v>
      </c>
    </row>
    <row r="8" spans="1:2" x14ac:dyDescent="0.3">
      <c r="A8" s="5" t="s">
        <v>79</v>
      </c>
      <c r="B8" s="8">
        <v>390158.82</v>
      </c>
    </row>
    <row r="9" spans="1:2" x14ac:dyDescent="0.3">
      <c r="A9" s="5" t="s">
        <v>40</v>
      </c>
      <c r="B9" s="8">
        <v>451959.46</v>
      </c>
    </row>
    <row r="10" spans="1:2" x14ac:dyDescent="0.3">
      <c r="A10" s="5" t="s">
        <v>80</v>
      </c>
      <c r="B10" s="8">
        <v>433699.03</v>
      </c>
    </row>
    <row r="11" spans="1:2" x14ac:dyDescent="0.3">
      <c r="A11" s="5" t="s">
        <v>81</v>
      </c>
      <c r="B11" s="8">
        <v>412771.14</v>
      </c>
    </row>
    <row r="12" spans="1:2" x14ac:dyDescent="0.3">
      <c r="A12" s="5" t="s">
        <v>82</v>
      </c>
      <c r="B12" s="8">
        <v>342108.93</v>
      </c>
    </row>
    <row r="13" spans="1:2" x14ac:dyDescent="0.3">
      <c r="A13" s="5" t="s">
        <v>83</v>
      </c>
      <c r="B13" s="8">
        <v>453883.06</v>
      </c>
    </row>
    <row r="14" spans="1:2" x14ac:dyDescent="0.3">
      <c r="A14" s="5" t="s">
        <v>84</v>
      </c>
      <c r="B14" s="8">
        <v>522872.18</v>
      </c>
    </row>
    <row r="15" spans="1:2" x14ac:dyDescent="0.3">
      <c r="A15" s="5" t="s">
        <v>85</v>
      </c>
      <c r="B15" s="8">
        <v>464175.67</v>
      </c>
    </row>
    <row r="16" spans="1:2" x14ac:dyDescent="0.3">
      <c r="A16" s="5" t="s">
        <v>86</v>
      </c>
      <c r="B16" s="8">
        <v>446848.92</v>
      </c>
    </row>
    <row r="17" spans="1:2" x14ac:dyDescent="0.3">
      <c r="A17" s="4" t="s">
        <v>65</v>
      </c>
      <c r="B17" s="8">
        <v>5214767.92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07A886-99FF-48A3-A104-8F6624FC4ED2}">
  <sheetPr codeName="Sheet7"/>
  <dimension ref="A1"/>
  <sheetViews>
    <sheetView tabSelected="1" zoomScale="81" zoomScaleNormal="81" zoomScaleSheetLayoutView="89" workbookViewId="0">
      <selection activeCell="AA16" sqref="AA16"/>
    </sheetView>
  </sheetViews>
  <sheetFormatPr defaultRowHeight="14.4" x14ac:dyDescent="0.3"/>
  <cols>
    <col min="1" max="1" width="8.77734375" style="6" customWidth="1"/>
    <col min="2" max="16384" width="8.88671875" style="6"/>
  </cols>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B8C06-6E83-4258-9926-EB03E83F0245}">
  <sheetPr codeName="Sheet8"/>
  <dimension ref="B3:L13"/>
  <sheetViews>
    <sheetView workbookViewId="0"/>
  </sheetViews>
  <sheetFormatPr defaultRowHeight="14.4" x14ac:dyDescent="0.3"/>
  <cols>
    <col min="1" max="1" width="11.6640625" bestFit="1" customWidth="1"/>
    <col min="2" max="2" width="10.5546875" bestFit="1" customWidth="1"/>
    <col min="4" max="4" width="14.88671875" bestFit="1" customWidth="1"/>
    <col min="6" max="6" width="12.88671875" bestFit="1" customWidth="1"/>
    <col min="7" max="7" width="11.6640625" bestFit="1" customWidth="1"/>
    <col min="12" max="12" width="11.6640625" bestFit="1" customWidth="1"/>
  </cols>
  <sheetData>
    <row r="3" spans="2:12" x14ac:dyDescent="0.3">
      <c r="B3" s="2">
        <f>KPI_Backend!A2</f>
        <v>0</v>
      </c>
    </row>
    <row r="5" spans="2:12" x14ac:dyDescent="0.3">
      <c r="L5" t="s">
        <v>66</v>
      </c>
    </row>
    <row r="6" spans="2:12" x14ac:dyDescent="0.3">
      <c r="L6" s="7">
        <v>5214767.92</v>
      </c>
    </row>
    <row r="9" spans="2:12" x14ac:dyDescent="0.3">
      <c r="B9" t="s">
        <v>68</v>
      </c>
      <c r="D9" t="s">
        <v>69</v>
      </c>
      <c r="F9" s="3" t="s">
        <v>64</v>
      </c>
      <c r="G9" t="s">
        <v>66</v>
      </c>
    </row>
    <row r="10" spans="2:12" x14ac:dyDescent="0.3">
      <c r="B10" s="7">
        <v>1026</v>
      </c>
      <c r="D10" s="2">
        <v>5082.619805068226</v>
      </c>
      <c r="F10" s="4" t="s">
        <v>63</v>
      </c>
      <c r="G10" s="2">
        <v>2603861.66</v>
      </c>
    </row>
    <row r="11" spans="2:12" x14ac:dyDescent="0.3">
      <c r="F11" s="4" t="s">
        <v>23</v>
      </c>
      <c r="G11" s="2">
        <v>1602403.55</v>
      </c>
    </row>
    <row r="12" spans="2:12" x14ac:dyDescent="0.3">
      <c r="F12" s="4" t="s">
        <v>37</v>
      </c>
      <c r="G12" s="2">
        <v>1008502.71</v>
      </c>
    </row>
    <row r="13" spans="2:12" x14ac:dyDescent="0.3">
      <c r="F13" s="4" t="s">
        <v>65</v>
      </c>
      <c r="G13" s="2">
        <v>5214767.92</v>
      </c>
    </row>
  </sheetData>
  <pageMargins left="0.7" right="0.7" top="0.75" bottom="0.75" header="0.3" footer="0.3"/>
  <drawing r:id="rId5"/>
  <extLst>
    <ext xmlns:x14="http://schemas.microsoft.com/office/spreadsheetml/2009/9/main" uri="{A8765BA9-456A-4dab-B4F3-ACF838C121DE}">
      <x14:slicerList>
        <x14:slicer r:id="rId6"/>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DCBFFA80-F233-4986-BF02-B55C1F2F43DE}">
  <ds:schemaRefs/>
</ds:datastoreItem>
</file>

<file path=customXml/itemProps2.xml><?xml version="1.0" encoding="utf-8"?>
<ds:datastoreItem xmlns:ds="http://schemas.openxmlformats.org/officeDocument/2006/customXml" ds:itemID="{3F2E97CC-9C68-4BE4-A6D4-36B3DF5BC431}">
  <ds:schemaRefs/>
</ds:datastoreItem>
</file>

<file path=customXml/itemProps3.xml><?xml version="1.0" encoding="utf-8"?>
<ds:datastoreItem xmlns:ds="http://schemas.openxmlformats.org/officeDocument/2006/customXml" ds:itemID="{7FDF002D-6365-4DB8-8858-2AA03C553560}">
  <ds:schemaRefs/>
</ds:datastoreItem>
</file>

<file path=customXml/itemProps4.xml><?xml version="1.0" encoding="utf-8"?>
<ds:datastoreItem xmlns:ds="http://schemas.openxmlformats.org/officeDocument/2006/customXml" ds:itemID="{29D76634-EA42-4E42-B7E5-2D369C93E3D0}">
  <ds:schemaRefs/>
</ds:datastoreItem>
</file>

<file path=customXml/itemProps5.xml><?xml version="1.0" encoding="utf-8"?>
<ds:datastoreItem xmlns:ds="http://schemas.openxmlformats.org/officeDocument/2006/customXml" ds:itemID="{0141C8D1-8368-4ED2-939C-51AC4646EF5E}">
  <ds:schemaRefs/>
</ds:datastoreItem>
</file>

<file path=customXml/itemProps6.xml><?xml version="1.0" encoding="utf-8"?>
<ds:datastoreItem xmlns:ds="http://schemas.openxmlformats.org/officeDocument/2006/customXml" ds:itemID="{29530C53-4F2D-475C-9D96-5024E979D82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Total Sales by Income</vt:lpstr>
      <vt:lpstr>Total Sales by Gender</vt:lpstr>
      <vt:lpstr>bike_buyers</vt:lpstr>
      <vt:lpstr>Total Sales by Region</vt:lpstr>
      <vt:lpstr>Sales by Category &amp; Sub-Categor</vt:lpstr>
      <vt:lpstr>Monthly Sales Trend</vt:lpstr>
      <vt:lpstr>Dashboard</vt:lpstr>
      <vt:lpstr>KPI_Backend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Omkar Sawant</dc:creator>
  <cp:lastModifiedBy>Omkar Sawant</cp:lastModifiedBy>
  <dcterms:created xsi:type="dcterms:W3CDTF">2026-02-12T08:41:48Z</dcterms:created>
  <dcterms:modified xsi:type="dcterms:W3CDTF">2026-07-03T07:54:39Z</dcterms:modified>
</cp:coreProperties>
</file>